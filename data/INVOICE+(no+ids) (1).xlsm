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40009_{E4A45429-38CC-47BB-9498-3644266296C3}" xr6:coauthVersionLast="47" xr6:coauthVersionMax="47" xr10:uidLastSave="{00000000-0000-0000-0000-000000000000}"/>
  <bookViews>
    <workbookView xWindow="-120" yWindow="-120" windowWidth="29040" windowHeight="15840" tabRatio="864"/>
  </bookViews>
  <sheets>
    <sheet name="INVOICE+(no+ids) (1)" sheetId="1" r:id="rId1"/>
    <sheet name="SALVATION ARMY - 1132 BROADVIEW" sheetId="2" r:id="rId2"/>
    <sheet name="NEW VISION - 2 MARKET ST. APT 2" sheetId="3" r:id="rId3"/>
    <sheet name="SALVATION ARMY - 150 RAILSIDE R" sheetId="4" r:id="rId4"/>
    <sheet name="SALVATION ARMY - GLENCAIRN" sheetId="5" r:id="rId5"/>
    <sheet name="NEW VISION - 2 MARKET ST. APT 1" sheetId="6" r:id="rId6"/>
    <sheet name="NEW VISION - 2 MARKET ST. APT 3" sheetId="7" r:id="rId7"/>
    <sheet name="SUREX COMMUNITY SERVICES - 49 C" sheetId="8" r:id="rId8"/>
    <sheet name="WOMEN'S HOSTELS INC. (Nellie's)" sheetId="9" r:id="rId9"/>
    <sheet name="SUREX COMMUNITY SERVICES - 28 M" sheetId="10" r:id="rId10"/>
    <sheet name="NEW VISION - 95 BICKNELL AVE" sheetId="11" r:id="rId11"/>
    <sheet name="NEW VISION - 87 HENRY LANE TERR" sheetId="12" r:id="rId12"/>
    <sheet name="SALVATION ARMY - 36 MELDAZY DRI" sheetId="13" r:id="rId13"/>
    <sheet name="NEW VISION - 83 HENRY LANE TERR" sheetId="14" r:id="rId14"/>
    <sheet name="NEW VISION - 81 HENRY LANE TERR" sheetId="15" r:id="rId15"/>
    <sheet name="MONTAGE - 7 BROADWAY AVE APT. 4" sheetId="16" r:id="rId16"/>
    <sheet name="SUREX COMMUNITY SERVICES - 50 C" sheetId="17" r:id="rId17"/>
    <sheet name="SUREX COMMUNITY SERVICES - 37 C" sheetId="18" r:id="rId18"/>
    <sheet name="MONTAGE - 7 BROADWAY AVE APT 40" sheetId="19" r:id="rId19"/>
    <sheet name="SUREX COMMUNITY SERVICES - 11 C" sheetId="20" r:id="rId20"/>
    <sheet name="NEW VISION - 8 OLEAN COURT" sheetId="21" r:id="rId21"/>
  </sheets>
  <definedNames>
    <definedName name="_xlnm.Print_Area" localSheetId="18">'MONTAGE - 7 BROADWAY AVE APT 40'!$A$1:$I$30</definedName>
    <definedName name="_xlnm.Print_Area" localSheetId="15">'MONTAGE - 7 BROADWAY AVE APT. 4'!$A$1:$I$32</definedName>
    <definedName name="_xlnm.Print_Area" localSheetId="5">'NEW VISION - 2 MARKET ST. APT 1'!$A$1:$I$31</definedName>
    <definedName name="_xlnm.Print_Area" localSheetId="2">'NEW VISION - 2 MARKET ST. APT 2'!$A$1:$I$30</definedName>
    <definedName name="_xlnm.Print_Area" localSheetId="6">'NEW VISION - 2 MARKET ST. APT 3'!$A$1:$I$30</definedName>
    <definedName name="_xlnm.Print_Area" localSheetId="20">'NEW VISION - 8 OLEAN COURT'!$A$1:$I$30</definedName>
    <definedName name="_xlnm.Print_Area" localSheetId="14">'NEW VISION - 81 HENRY LANE TERR'!$A$1:$I$30</definedName>
    <definedName name="_xlnm.Print_Area" localSheetId="13">'NEW VISION - 83 HENRY LANE TERR'!$A$1:$I$30</definedName>
    <definedName name="_xlnm.Print_Area" localSheetId="11">'NEW VISION - 87 HENRY LANE TERR'!$A$1:$I$30</definedName>
    <definedName name="_xlnm.Print_Area" localSheetId="10">'NEW VISION - 95 BICKNELL AVE'!$A$1:$I$30</definedName>
    <definedName name="_xlnm.Print_Area" localSheetId="1">'SALVATION ARMY - 1132 BROADVIEW'!$A$1:$I$75</definedName>
    <definedName name="_xlnm.Print_Area" localSheetId="3">'SALVATION ARMY - 150 RAILSIDE R'!$A$1:$I$55</definedName>
    <definedName name="_xlnm.Print_Area" localSheetId="12">'SALVATION ARMY - 36 MELDAZY DRI'!$A$1:$I$33</definedName>
    <definedName name="_xlnm.Print_Area" localSheetId="4">'SALVATION ARMY - GLENCAIRN'!$A$1:$I$49</definedName>
    <definedName name="_xlnm.Print_Area" localSheetId="19">'SUREX COMMUNITY SERVICES - 11 C'!$A$1:$I$30</definedName>
    <definedName name="_xlnm.Print_Area" localSheetId="9">'SUREX COMMUNITY SERVICES - 28 M'!$A$1:$I$32</definedName>
    <definedName name="_xlnm.Print_Area" localSheetId="17">'SUREX COMMUNITY SERVICES - 37 C'!$A$1:$I$30</definedName>
    <definedName name="_xlnm.Print_Area" localSheetId="7">'SUREX COMMUNITY SERVICES - 49 C'!$A$1:$I$33</definedName>
    <definedName name="_xlnm.Print_Area" localSheetId="16">'SUREX COMMUNITY SERVICES - 50 C'!$A$1:$I$30</definedName>
    <definedName name="_xlnm.Print_Area" localSheetId="8">'WOMEN''S HOSTELS INC. (Nellie''s)'!$A$1:$I$30</definedName>
  </definedName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2" i="1"/>
  <c r="H15" i="21"/>
  <c r="H16" i="21" s="1"/>
  <c r="G14" i="21"/>
  <c r="G15" i="21" s="1"/>
  <c r="G16" i="21" s="1"/>
  <c r="H15" i="20"/>
  <c r="H16" i="20" s="1"/>
  <c r="G14" i="20"/>
  <c r="G15" i="20" s="1"/>
  <c r="G16" i="20" s="1"/>
  <c r="H15" i="19"/>
  <c r="H16" i="19" s="1"/>
  <c r="G14" i="19"/>
  <c r="G15" i="19" s="1"/>
  <c r="G16" i="19" s="1"/>
  <c r="H15" i="3"/>
  <c r="H16" i="3" s="1"/>
  <c r="G14" i="3"/>
  <c r="G15" i="3" s="1"/>
  <c r="G16" i="3" s="1"/>
  <c r="H15" i="7"/>
  <c r="H16" i="7" s="1"/>
  <c r="G14" i="7"/>
  <c r="G15" i="7" s="1"/>
  <c r="G16" i="7" s="1"/>
  <c r="H16" i="18"/>
  <c r="H15" i="18"/>
  <c r="G14" i="18"/>
  <c r="G15" i="18" s="1"/>
  <c r="G16" i="18" s="1"/>
  <c r="H15" i="17"/>
  <c r="H16" i="17" s="1"/>
  <c r="G14" i="17"/>
  <c r="G15" i="17" s="1"/>
  <c r="G16" i="17" s="1"/>
  <c r="H17" i="16"/>
  <c r="H18" i="16" s="1"/>
  <c r="G16" i="16"/>
  <c r="G15" i="16"/>
  <c r="G14" i="16"/>
  <c r="G17" i="16" s="1"/>
  <c r="G18" i="16" s="1"/>
  <c r="H15" i="15"/>
  <c r="H16" i="15" s="1"/>
  <c r="G14" i="15"/>
  <c r="G15" i="15" s="1"/>
  <c r="G16" i="15" s="1"/>
  <c r="H15" i="14"/>
  <c r="H16" i="14" s="1"/>
  <c r="G14" i="14"/>
  <c r="G15" i="14" s="1"/>
  <c r="G16" i="14" s="1"/>
  <c r="H19" i="13"/>
  <c r="H18" i="13"/>
  <c r="G17" i="13"/>
  <c r="G16" i="13"/>
  <c r="G15" i="13"/>
  <c r="G14" i="13"/>
  <c r="G18" i="13" s="1"/>
  <c r="G19" i="13" s="1"/>
  <c r="H16" i="12"/>
  <c r="H15" i="12"/>
  <c r="G14" i="12"/>
  <c r="G15" i="12" s="1"/>
  <c r="G16" i="12" s="1"/>
  <c r="H16" i="11"/>
  <c r="H15" i="11"/>
  <c r="G14" i="11"/>
  <c r="G15" i="11" s="1"/>
  <c r="G16" i="11" s="1"/>
  <c r="H17" i="10"/>
  <c r="H18" i="10" s="1"/>
  <c r="G16" i="10"/>
  <c r="G15" i="10"/>
  <c r="G14" i="10"/>
  <c r="G17" i="10" s="1"/>
  <c r="G18" i="10" s="1"/>
  <c r="H16" i="9"/>
  <c r="G15" i="9"/>
  <c r="G16" i="9" s="1"/>
  <c r="H15" i="9"/>
  <c r="G14" i="9"/>
  <c r="H18" i="8"/>
  <c r="H19" i="8" s="1"/>
  <c r="G17" i="8"/>
  <c r="G16" i="8"/>
  <c r="G15" i="8"/>
  <c r="G14" i="8"/>
  <c r="G16" i="6"/>
  <c r="G17" i="6" s="1"/>
  <c r="H16" i="6"/>
  <c r="H17" i="6" s="1"/>
  <c r="G15" i="6"/>
  <c r="G14" i="6"/>
  <c r="H35" i="5"/>
  <c r="H34" i="5"/>
  <c r="G32" i="5"/>
  <c r="G33" i="5"/>
  <c r="G30" i="5"/>
  <c r="G31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H41" i="4"/>
  <c r="H40" i="4"/>
  <c r="G37" i="4"/>
  <c r="G38" i="4"/>
  <c r="G39" i="4"/>
  <c r="G35" i="4"/>
  <c r="G36" i="4"/>
  <c r="G33" i="4"/>
  <c r="G34" i="4"/>
  <c r="G31" i="4"/>
  <c r="G32" i="4"/>
  <c r="G29" i="4"/>
  <c r="G28" i="4"/>
  <c r="G27" i="4"/>
  <c r="G30" i="4"/>
  <c r="G25" i="4"/>
  <c r="G24" i="4"/>
  <c r="G26" i="4"/>
  <c r="G23" i="4"/>
  <c r="G21" i="4"/>
  <c r="G22" i="4"/>
  <c r="G20" i="4"/>
  <c r="G18" i="4"/>
  <c r="G17" i="4"/>
  <c r="G19" i="4"/>
  <c r="G15" i="4"/>
  <c r="G14" i="4"/>
  <c r="G16" i="4"/>
  <c r="H60" i="2"/>
  <c r="H61" i="2" s="1"/>
  <c r="G57" i="2"/>
  <c r="G58" i="2"/>
  <c r="G56" i="2"/>
  <c r="G59" i="2"/>
  <c r="G55" i="2"/>
  <c r="G53" i="2"/>
  <c r="G54" i="2"/>
  <c r="G52" i="2"/>
  <c r="G51" i="2"/>
  <c r="G48" i="2"/>
  <c r="G50" i="2"/>
  <c r="G49" i="2"/>
  <c r="G44" i="2"/>
  <c r="G47" i="2"/>
  <c r="G45" i="2"/>
  <c r="G46" i="2"/>
  <c r="G43" i="2"/>
  <c r="G42" i="2"/>
  <c r="G40" i="2"/>
  <c r="G41" i="2"/>
  <c r="G38" i="2"/>
  <c r="G39" i="2"/>
  <c r="G37" i="2"/>
  <c r="G36" i="2"/>
  <c r="G34" i="2"/>
  <c r="G35" i="2"/>
  <c r="G32" i="2"/>
  <c r="G33" i="2"/>
  <c r="G31" i="2"/>
  <c r="G28" i="2"/>
  <c r="G29" i="2"/>
  <c r="G30" i="2"/>
  <c r="G27" i="2"/>
  <c r="G25" i="2"/>
  <c r="G26" i="2"/>
  <c r="G23" i="2"/>
  <c r="G22" i="2"/>
  <c r="G24" i="2"/>
  <c r="G21" i="2"/>
  <c r="G20" i="2"/>
  <c r="G19" i="2"/>
  <c r="G16" i="2"/>
  <c r="G17" i="2"/>
  <c r="G18" i="2"/>
  <c r="G15" i="2"/>
  <c r="G60" i="2" s="1"/>
  <c r="G61" i="2" s="1"/>
  <c r="G14" i="2"/>
  <c r="G17" i="21" l="1"/>
  <c r="G18" i="21" s="1"/>
  <c r="G17" i="20"/>
  <c r="G18" i="20" s="1"/>
  <c r="G17" i="19"/>
  <c r="G18" i="19" s="1"/>
  <c r="G17" i="3"/>
  <c r="G18" i="3" s="1"/>
  <c r="G17" i="7"/>
  <c r="G18" i="7" s="1"/>
  <c r="G17" i="18"/>
  <c r="G18" i="18"/>
  <c r="G18" i="17"/>
  <c r="G17" i="17"/>
  <c r="G19" i="16"/>
  <c r="G20" i="16"/>
  <c r="G17" i="15"/>
  <c r="G18" i="15" s="1"/>
  <c r="G17" i="14"/>
  <c r="G18" i="14" s="1"/>
  <c r="G20" i="13"/>
  <c r="G21" i="13" s="1"/>
  <c r="G17" i="12"/>
  <c r="G18" i="12"/>
  <c r="G17" i="11"/>
  <c r="G18" i="11" s="1"/>
  <c r="G19" i="10"/>
  <c r="G20" i="10" s="1"/>
  <c r="G17" i="9"/>
  <c r="G18" i="9" s="1"/>
  <c r="G18" i="8"/>
  <c r="G19" i="8" s="1"/>
  <c r="G20" i="8" s="1"/>
  <c r="G21" i="8" s="1"/>
  <c r="G18" i="6"/>
  <c r="G19" i="6" s="1"/>
  <c r="G34" i="5"/>
  <c r="G35" i="5" s="1"/>
  <c r="G36" i="5" s="1"/>
  <c r="G37" i="5" s="1"/>
  <c r="G40" i="4"/>
  <c r="G41" i="4" s="1"/>
  <c r="G42" i="4" s="1"/>
  <c r="G43" i="4" s="1"/>
  <c r="G62" i="2"/>
  <c r="G63" i="2" s="1"/>
</calcChain>
</file>

<file path=xl/sharedStrings.xml><?xml version="1.0" encoding="utf-8"?>
<sst xmlns="http://schemas.openxmlformats.org/spreadsheetml/2006/main" count="5071" uniqueCount="255">
  <si>
    <t>Start date</t>
  </si>
  <si>
    <t>Personnel name</t>
  </si>
  <si>
    <t>Client</t>
  </si>
  <si>
    <t>Start time</t>
  </si>
  <si>
    <t>End time</t>
  </si>
  <si>
    <t>Bill rate</t>
  </si>
  <si>
    <t>Total bill</t>
  </si>
  <si>
    <t>Duration</t>
  </si>
  <si>
    <t>Unit/Floor/Level</t>
  </si>
  <si>
    <t>Is Shift an ONS?</t>
  </si>
  <si>
    <t>BillingDetails</t>
  </si>
  <si>
    <t>Created By</t>
  </si>
  <si>
    <t>16/03/2026</t>
  </si>
  <si>
    <t>OLUWAFISAYO JULIUS ARISOYIN</t>
  </si>
  <si>
    <t>SALVATION ARMY - 1132 BROADVIEW AVE - House 2</t>
  </si>
  <si>
    <t>No</t>
  </si>
  <si>
    <t xml:space="preserve">01 - HOURLY: 4 hr  | </t>
  </si>
  <si>
    <t>Surya Gayathri</t>
  </si>
  <si>
    <t>SUNDAY ANDEM</t>
  </si>
  <si>
    <t>REENA FOUNDATION - 409 WILSON - STEPHEN ARONOVITCH</t>
  </si>
  <si>
    <t xml:space="preserve">01 - HOURLY: 8 hr  | </t>
  </si>
  <si>
    <t>OLABISI SHITTU (PSW)</t>
  </si>
  <si>
    <t>REENA FOUNDATION - 15 LOWESMOOR AVE</t>
  </si>
  <si>
    <t>Jozette Haynes</t>
  </si>
  <si>
    <t>GRACE ONOME AKPE @</t>
  </si>
  <si>
    <t>MALEFIA TAMRU</t>
  </si>
  <si>
    <t>REENA FOUNDATION - 44 SILKWOOD CRESCENT</t>
  </si>
  <si>
    <t>FATU F KEITA (MEDS)</t>
  </si>
  <si>
    <t>REENA FOUNDATION - 37 DENMARK CRESCENT</t>
  </si>
  <si>
    <t xml:space="preserve">01 - HOURLY-MEDS: 6 hr  | </t>
  </si>
  <si>
    <t>JANICE GANNON</t>
  </si>
  <si>
    <t>CHINEDU IFUNANYA ONYEAMA (MEDS)</t>
  </si>
  <si>
    <t>REENA FOUNDATION - SANDY KESHEN REENA RESIDENCE (SKRR)</t>
  </si>
  <si>
    <t xml:space="preserve">01 - HOURLY-MEDS: 7 hr  | </t>
  </si>
  <si>
    <t>DOMINIC IFEANYI FRANCIS AMAGWULA (MEDS)</t>
  </si>
  <si>
    <t>REENA FOUNDATION - 168 REGINA AVE</t>
  </si>
  <si>
    <t xml:space="preserve">01 - HOURLY-MEDS: 7.5 hr  | </t>
  </si>
  <si>
    <t>Rashidat (Temi) Adenowo</t>
  </si>
  <si>
    <t>MUJEEB ABIMBOLA JUNAID</t>
  </si>
  <si>
    <t xml:space="preserve">01 - HOURLY: 7.5 hr  | </t>
  </si>
  <si>
    <t>OLASUBOMI AL-AMIN AKASORO</t>
  </si>
  <si>
    <t>REENA FOUNDATION - 409 WILSON - MARTIN GOODMAN</t>
  </si>
  <si>
    <t xml:space="preserve">01 - HOURLY: 6 hr  | </t>
  </si>
  <si>
    <t>OSAGIE IGBINOSUN</t>
  </si>
  <si>
    <t>REENA FOUNDATION - 409 WILSON AVE</t>
  </si>
  <si>
    <t>OBICHUKWU UZOCHUKWU ONYEMA (MEDS)</t>
  </si>
  <si>
    <t>REENA FOUNDATION - LOU FRUITMAN REENA RESIDENCE (LFRR)</t>
  </si>
  <si>
    <t>Samiha Himi</t>
  </si>
  <si>
    <t>OJIYOVWI ZOE ATUNUSHA</t>
  </si>
  <si>
    <t>REENA FOUNDATION - 4 CEDAR SPRINGS GROVE</t>
  </si>
  <si>
    <t>.</t>
  </si>
  <si>
    <t>OLAYINKA AUGUSTINA OLANIYI (MEDS)</t>
  </si>
  <si>
    <t xml:space="preserve">01 - HOURLY-MEDS: 8 hr  | </t>
  </si>
  <si>
    <t>CYNTHIA ESOHE OROBOSA</t>
  </si>
  <si>
    <t>KELECHI AJUZIE</t>
  </si>
  <si>
    <t>REENA FOUNDATION - 12 LUVERNE AVE</t>
  </si>
  <si>
    <t xml:space="preserve">01 - HOURLY: 7 hr  | </t>
  </si>
  <si>
    <t>Sruthy Chandran</t>
  </si>
  <si>
    <t>ONYINYECHI JUSTINA ANDEM</t>
  </si>
  <si>
    <t>REENA FOUNDATION - 473 WILSON AVE.</t>
  </si>
  <si>
    <t>LOLADE OLAYEMI ADEBANJO (MEDS)</t>
  </si>
  <si>
    <t>KEHINDE OLANREWAJU ADERETI (MEDS)</t>
  </si>
  <si>
    <t>SAMUEL TUNDE AYENI (MEDS)</t>
  </si>
  <si>
    <t>n/a</t>
  </si>
  <si>
    <t>CAROLINE KEHINDE ALAFE</t>
  </si>
  <si>
    <t>NEW VISION - 2 MARKET ST. APT 207</t>
  </si>
  <si>
    <t>GRACE DANIEL</t>
  </si>
  <si>
    <t>GLORIA BOAKYE (MEDS)</t>
  </si>
  <si>
    <t xml:space="preserve">01 - HOURLY-MEDS: 4 hr  | </t>
  </si>
  <si>
    <t>ROSHINI MARY JOSE</t>
  </si>
  <si>
    <t>SALVATION ARMY - 150 RAILSIDE RD. (BVEP)</t>
  </si>
  <si>
    <t>FAUSAT OLUBUKOLA SANUSI</t>
  </si>
  <si>
    <t>OLAJIDE MORENIKEJI (MEDS)</t>
  </si>
  <si>
    <t>REENA FOUNDATION - LOUFRUITMAN RESIDENCE (LFRR) - unit 605</t>
  </si>
  <si>
    <t>REBECCA FATUYA</t>
  </si>
  <si>
    <t>REENA FOUNDATION - 495 WILSON AVE Apt 334</t>
  </si>
  <si>
    <t>AMENZE CHRISTABEL OGUNGHIDE</t>
  </si>
  <si>
    <t>ADEBAYO LAWAL</t>
  </si>
  <si>
    <t>SALVATION ARMY - GLENCAIRN</t>
  </si>
  <si>
    <t>OLUWASEUN ANUOLUWAPO TEIBO (MEDS)</t>
  </si>
  <si>
    <t xml:space="preserve">01 - HOURLY-MEDS: 7.75 hr  | </t>
  </si>
  <si>
    <t>ABIODUN OLUMIDE OLUWAFEMI</t>
  </si>
  <si>
    <t>KAJALBEN RAHIL CHAUDHARI (MEDS)@</t>
  </si>
  <si>
    <t>CHIKAODILI WINNIFRED CHIME (MEDS)</t>
  </si>
  <si>
    <t>CHARLES MORDI (CSW)</t>
  </si>
  <si>
    <t>OLUWAFEMI MICHAEL ADENIYI (MEDS) (PSW)</t>
  </si>
  <si>
    <t>SIMRANJIT KAUR</t>
  </si>
  <si>
    <t xml:space="preserve">01 - HOURLY: 5 hr  | </t>
  </si>
  <si>
    <t>Yes</t>
  </si>
  <si>
    <t xml:space="preserve">01 - ONS:  shift  | 02 - HOURLY: 3 hr  | </t>
  </si>
  <si>
    <t>REMILEKUN OGUNWOBI</t>
  </si>
  <si>
    <t>NEW VISION - 2 MARKET ST. APT 102</t>
  </si>
  <si>
    <t xml:space="preserve">01 - HOURLY: 10.5 hr  | </t>
  </si>
  <si>
    <t>MUNIRAT ABUBAKAR SULEIMAN (MEDS)</t>
  </si>
  <si>
    <t xml:space="preserve">01 - HOURLY-MEDS: 10 hr  | </t>
  </si>
  <si>
    <t>BILIKIS OMOTOYOSI TAJUDEEN (MEDS)</t>
  </si>
  <si>
    <t>TEMITOPE OJO OLOYE</t>
  </si>
  <si>
    <t xml:space="preserve">01 - HOURLY: 10 hr  | </t>
  </si>
  <si>
    <t>CHINYELUGO ADAEZE NWOGU (MEDS)</t>
  </si>
  <si>
    <t>401/411</t>
  </si>
  <si>
    <t>17/03/2026</t>
  </si>
  <si>
    <t>OPEYEMI DANIEL AROKODARE</t>
  </si>
  <si>
    <t>ANNETTE BEVERLEY HANNAN</t>
  </si>
  <si>
    <t>ISOKEN PRECIOUS AHUNWAN</t>
  </si>
  <si>
    <t xml:space="preserve">01 - HOURLY: 6.5 hr  | </t>
  </si>
  <si>
    <t>Unassigned</t>
  </si>
  <si>
    <t xml:space="preserve">01 - HOURLY: 0 hr  | </t>
  </si>
  <si>
    <t>FATIMO AKINLADE</t>
  </si>
  <si>
    <t>MERCY ASEMOTA</t>
  </si>
  <si>
    <t xml:space="preserve">01 - HOURLY-MEDS: 4.5 hr  | </t>
  </si>
  <si>
    <t>VICTOR OSEGHALE OFEIMUN</t>
  </si>
  <si>
    <t>YEMISI AYENI (MEDS)@</t>
  </si>
  <si>
    <t>OMOTUNDE MODINAT TORIMIRO(MEDS)@</t>
  </si>
  <si>
    <t>RASHIDAT ADENIKE OLUFADE (MEDS) @</t>
  </si>
  <si>
    <t>OMOSIGHO IDELE</t>
  </si>
  <si>
    <t>SILIFAT ADUKE EKUN (MEDS)</t>
  </si>
  <si>
    <t>JOY IFUEKO AGBONIFO</t>
  </si>
  <si>
    <t>SUSAN OLORUNTOLA AROWOSAFE (MEDS) (DSW)</t>
  </si>
  <si>
    <t xml:space="preserve">01 - HOURLY-MEDS: 3 hr  | </t>
  </si>
  <si>
    <t>ABISOLA  GRACE ADEDAYO (MEDS)</t>
  </si>
  <si>
    <t>NEW VISION - 2 MARKET ST. APT 305</t>
  </si>
  <si>
    <t xml:space="preserve">01 - HOURLY: 10.75 hr  | </t>
  </si>
  <si>
    <t>SANDRA MBOTIJI NAMONDO BUMA (MEDS)</t>
  </si>
  <si>
    <t>216/220</t>
  </si>
  <si>
    <t>KUMAWUESE JENNIFER KURUGH (MEDS)</t>
  </si>
  <si>
    <t>18/03/2026</t>
  </si>
  <si>
    <t>OSAYUKI KELVIN IGIEHON</t>
  </si>
  <si>
    <t>SUREX COMMUNITY SERVICES - 49 COOPMAN PATHWAY</t>
  </si>
  <si>
    <t xml:space="preserve">01 - HOURLY-MEDS: 6.5 hr  | </t>
  </si>
  <si>
    <t xml:space="preserve">01 - HOURLY: 5.5 hr  | </t>
  </si>
  <si>
    <t>DORIS AGAZUMA</t>
  </si>
  <si>
    <t>TEMESGEN SHEMELES MENGESTE</t>
  </si>
  <si>
    <t>Abubakar AL-FAKI</t>
  </si>
  <si>
    <t>19/03/2026</t>
  </si>
  <si>
    <t>OMOLOLA DAIRO (PSW)</t>
  </si>
  <si>
    <t>WOMEN'S HOSTELS INC. (Nellie's)</t>
  </si>
  <si>
    <t>IMUETINYAN FAITH ADA-OKUNGBOWA</t>
  </si>
  <si>
    <t>603/604</t>
  </si>
  <si>
    <t xml:space="preserve">01 - HOURLY: 9 hr  | </t>
  </si>
  <si>
    <t>OLUWATOBI  AZEEZ AFOLABI (MEDS)</t>
  </si>
  <si>
    <t xml:space="preserve">01 - ONS:  shift  | 02 - HOURLY-MEDS: 3 hr  | </t>
  </si>
  <si>
    <t>AFUSAT ADESOLA ADESANYA (MEDS)</t>
  </si>
  <si>
    <t>301/303</t>
  </si>
  <si>
    <t>20/03/2026</t>
  </si>
  <si>
    <t xml:space="preserve">01 - HOURLY-MEDS: 9 hr  | </t>
  </si>
  <si>
    <t>ANDREW KOMOLAFE (MEDS)</t>
  </si>
  <si>
    <t>JENNIFER IDELE (MEDS)</t>
  </si>
  <si>
    <t xml:space="preserve">01 - HOURLY: 8.42 hr  | </t>
  </si>
  <si>
    <t>EFOSA AKINJIDE KAYODE-IYASERE</t>
  </si>
  <si>
    <t>OSEIMIEBI KIRI ONUOGU (MEDS)</t>
  </si>
  <si>
    <t>SUREX COMMUNITY SERVICES - 28 MANORWOOD RD</t>
  </si>
  <si>
    <t>TAIWO OMOTAYO BABATUNDE</t>
  </si>
  <si>
    <t>OLUWAGBEMISOLA AKINBORO ARIYO (MEDS)</t>
  </si>
  <si>
    <t xml:space="preserve">01 - HOURLY-MEDS: 3 hr  | 02 - ONS:  shift  | </t>
  </si>
  <si>
    <t>REENA FOUNDATION</t>
  </si>
  <si>
    <t>21/03/2026</t>
  </si>
  <si>
    <t>OLUSOLA EMMANUEL POPOOLA (DSW)</t>
  </si>
  <si>
    <t>ENOBONG EKIM-AIGBEDE</t>
  </si>
  <si>
    <t xml:space="preserve">01 - HOURLY-MEDS: 5 hr  | </t>
  </si>
  <si>
    <t>MONSURAT JIMOH</t>
  </si>
  <si>
    <t>316/320</t>
  </si>
  <si>
    <t>22/03/2026</t>
  </si>
  <si>
    <t>TESLIM OMOLOLA AJANOSI</t>
  </si>
  <si>
    <t>THERESA CHIKA UZOETO (MEDS)</t>
  </si>
  <si>
    <t>NEW VISION - 95 BICKNELL AVE</t>
  </si>
  <si>
    <t xml:space="preserve">01 - HOURLY: 12 hr  | </t>
  </si>
  <si>
    <t xml:space="preserve">01 - HOURLY: 7 hr  | 02 - OVERTIME-HOURLY: 1 hr  | </t>
  </si>
  <si>
    <t xml:space="preserve">01 - HOURLY: 13 hr  | </t>
  </si>
  <si>
    <t xml:space="preserve">01 - HOURLY: 11 hr  | </t>
  </si>
  <si>
    <t>SAMUEL IDOWU</t>
  </si>
  <si>
    <t>504/518</t>
  </si>
  <si>
    <t>23/03/2026</t>
  </si>
  <si>
    <t>TBA</t>
  </si>
  <si>
    <t>24/03/2026</t>
  </si>
  <si>
    <t>401, 318</t>
  </si>
  <si>
    <t>605 &amp; 617</t>
  </si>
  <si>
    <t xml:space="preserve">01 - HOURLY-MEDS: 6.33 hr  | </t>
  </si>
  <si>
    <t>VIOLET OMOKHODION</t>
  </si>
  <si>
    <t>NEW VISION - 87 HENRY LANE TERR.</t>
  </si>
  <si>
    <t xml:space="preserve">01 - HOURLY-MEDS: 0 hr  | </t>
  </si>
  <si>
    <t>25/03/2026</t>
  </si>
  <si>
    <t>SALVATION ARMY - 36 MELDAZY DRIVE</t>
  </si>
  <si>
    <t>NEW VISION - 83 HENRY LANE TERR.</t>
  </si>
  <si>
    <t>NEW VISION - 81 HENRY LANE TERR.</t>
  </si>
  <si>
    <t>26/03/2026</t>
  </si>
  <si>
    <t xml:space="preserve">01 - HOURLY: 7.75 hr  | </t>
  </si>
  <si>
    <t>CHIKA SUSAN PETER</t>
  </si>
  <si>
    <t>MONTAGE - 7 BROADWAY AVE APT. 406</t>
  </si>
  <si>
    <t>SUREX COMMUNITY SERVICES - 50 COOPMAN PATHWAY</t>
  </si>
  <si>
    <t>PERIS NDIRANGU</t>
  </si>
  <si>
    <t>SUREX COMMUNITY SERVICES - 37 COOPMAN PATHWAY</t>
  </si>
  <si>
    <t xml:space="preserve">01 - HOURLY-MEDS: 5.5 hr  | </t>
  </si>
  <si>
    <t xml:space="preserve">01 - HOURLY: 9.25 hr  | </t>
  </si>
  <si>
    <t>27/03/2026</t>
  </si>
  <si>
    <t>605, 418, 411</t>
  </si>
  <si>
    <t>NEW VISION - 2 MARKET ST. APT 307</t>
  </si>
  <si>
    <t>NEW VISION - 2 MARKET ST. APT 205</t>
  </si>
  <si>
    <t xml:space="preserve">01 - HOURLY-MEDS: 2.25 hr  | 02 - ONS:  shift  | </t>
  </si>
  <si>
    <t>28/03/2026</t>
  </si>
  <si>
    <t xml:space="preserve">TBA </t>
  </si>
  <si>
    <t>MONTAGE - 7 BROADWAY AVE APT 405</t>
  </si>
  <si>
    <t>SUREX COMMUNITY SERVICES - 11 COATSWORTH CRES UNIT 616</t>
  </si>
  <si>
    <t>NEW VISION - 8 OLEAN COURT</t>
  </si>
  <si>
    <t>29/03/2026</t>
  </si>
  <si>
    <t>EJIRO OLORI (MEDS)</t>
  </si>
  <si>
    <t>1132 BROADVIEW AVE - House 2</t>
  </si>
  <si>
    <t>Recorded b Name</t>
  </si>
  <si>
    <t>Item Description</t>
  </si>
  <si>
    <t>Rate</t>
  </si>
  <si>
    <t>Amount</t>
  </si>
  <si>
    <t>Code</t>
  </si>
  <si>
    <t>Payroll Invoice</t>
  </si>
  <si>
    <t>"Door to Caring Hands"</t>
  </si>
  <si>
    <t>INVOICE</t>
  </si>
  <si>
    <t>Invoice #</t>
  </si>
  <si>
    <t>DATE:</t>
  </si>
  <si>
    <t>BUSINESS #: 891839433RT0001</t>
  </si>
  <si>
    <t xml:space="preserve">Subtotal for Unit </t>
  </si>
  <si>
    <t>SUBTOTAL</t>
  </si>
  <si>
    <t>HST 13%</t>
  </si>
  <si>
    <t>TOTAL</t>
  </si>
  <si>
    <t>CODES:</t>
  </si>
  <si>
    <t>ONA=OVERNIGHT AWAKE</t>
  </si>
  <si>
    <t>MC=MINIMUM CHARGE</t>
  </si>
  <si>
    <t>ONS=OVERNIGHT SLEEP</t>
  </si>
  <si>
    <t>TX=TAXI</t>
  </si>
  <si>
    <t>STAT=STATUTORY HOLIDAY</t>
  </si>
  <si>
    <t>DST- DAYLIGHT SAVINGS TIME</t>
  </si>
  <si>
    <t>SA=SUPERVISOR APPROVED</t>
  </si>
  <si>
    <t>OT=OVERTIME</t>
  </si>
  <si>
    <t>PLEASE MAKE CHEQUE OR ELECTRONIC FUNDS TRANSFER (EFT) PAYABLE TO:</t>
  </si>
  <si>
    <t>DORVICT RESOURCE &amp; CONSULTING CENTRE INC.</t>
  </si>
  <si>
    <t>TEL: (416) 661-1740 Ext . 225</t>
  </si>
  <si>
    <t>1275 Finch Ave. W. , Ste. 616, Toronto,On, M3J 0L5</t>
  </si>
  <si>
    <t>1.5% INTEREST CHARGE APPLIES TO BALANCES OVER 30 DAYS</t>
  </si>
  <si>
    <t>ENQUIRIES:</t>
  </si>
  <si>
    <t>accounting@dorvict.com</t>
  </si>
  <si>
    <t>150 RAILSIDE RD. (BVEP)</t>
  </si>
  <si>
    <t>GLENCAIRN</t>
  </si>
  <si>
    <t>2 MARKET ST. APT 102</t>
  </si>
  <si>
    <t>49 COOPMAN PATHWAY</t>
  </si>
  <si>
    <t>28 MANORWOOD RD</t>
  </si>
  <si>
    <t>95 BICKNELL AVE</t>
  </si>
  <si>
    <t>87 HENRY LANE TERR.</t>
  </si>
  <si>
    <t>36 MELDAZY DRIVE</t>
  </si>
  <si>
    <t>83 HENRY LANE TERR.</t>
  </si>
  <si>
    <t>81 HENRY LANE TERR.</t>
  </si>
  <si>
    <t>7 BROADWAY AVE APT. 406</t>
  </si>
  <si>
    <t>50 COOPMAN PATHWAY</t>
  </si>
  <si>
    <t>37 COOPMAN PATHWAY</t>
  </si>
  <si>
    <t>2 MARKET ST. APT 307</t>
  </si>
  <si>
    <t>2 MARKET ST. APT 205</t>
  </si>
  <si>
    <t>7 BROADWAY AVE APT 405</t>
  </si>
  <si>
    <t>11 COATSWORTH CRES UNIT 616</t>
  </si>
  <si>
    <t>8 OLEAN COURT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</si>
</sst>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2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2"/>
      <color theme="1"/>
      <name val="Arial"/>
      <family val="2"/>
    </font>
    <font>
      <sz val="11"/>
      <color rgb="FFBBBEBF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5">
    <xf numFmtId="0" fontId="0" fillId="0" borderId="0" xfId="0"/>
    <xf numFmtId="20" fontId="0" fillId="0" borderId="0" xfId="0" applyNumberFormat="1"/>
    <xf numFmtId="164" fontId="0" fillId="0" borderId="0" xfId="0" applyNumberFormat="1"/>
    <xf numFmtId="0" fontId="16" fillId="0" borderId="0" xfId="0" applyFont="1"/>
    <xf numFmtId="2" fontId="0" fillId="0" borderId="0" xfId="0" applyNumberFormat="1"/>
    <xf numFmtId="4" fontId="0" fillId="0" borderId="0" xfId="0" applyNumberFormat="1"/>
    <xf numFmtId="164" fontId="18" fillId="0" borderId="10" xfId="0" applyNumberFormat="1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2" fontId="18" fillId="0" borderId="10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" vertical="center"/>
    </xf>
    <xf numFmtId="164" fontId="19" fillId="0" borderId="10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2" fontId="19" fillId="0" borderId="10" xfId="0" applyNumberFormat="1" applyFont="1" applyBorder="1" applyAlignment="1">
      <alignment horizontal="center" vertical="center"/>
    </xf>
    <xf numFmtId="4" fontId="19" fillId="0" borderId="10" xfId="0" applyNumberFormat="1" applyFont="1" applyBorder="1" applyAlignment="1">
      <alignment horizontal="center" vertical="center"/>
    </xf>
    <xf numFmtId="0" fontId="18" fillId="0" borderId="0" xfId="0" applyFont="1"/>
    <xf numFmtId="164" fontId="18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2" fontId="18" fillId="0" borderId="0" xfId="0" applyNumberFormat="1" applyFont="1" applyAlignment="1">
      <alignment horizontal="left" vertical="center"/>
    </xf>
    <xf numFmtId="4" fontId="19" fillId="0" borderId="0" xfId="0" applyNumberFormat="1" applyFont="1" applyAlignment="1">
      <alignment horizontal="left" vertical="center"/>
    </xf>
    <xf numFmtId="19" fontId="18" fillId="0" borderId="10" xfId="0" applyNumberFormat="1" applyFont="1" applyBorder="1" applyAlignment="1">
      <alignment horizontal="center" vertical="center"/>
    </xf>
    <xf numFmtId="164" fontId="19" fillId="0" borderId="11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4" fontId="19" fillId="0" borderId="13" xfId="0" applyNumberFormat="1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19" fontId="19" fillId="0" borderId="11" xfId="0" applyNumberFormat="1" applyFont="1" applyBorder="1" applyAlignment="1">
      <alignment horizontal="center" vertical="center"/>
    </xf>
    <xf numFmtId="19" fontId="19" fillId="0" borderId="12" xfId="0" applyNumberFormat="1" applyFont="1" applyBorder="1" applyAlignment="1">
      <alignment horizontal="center" vertical="center"/>
    </xf>
    <xf numFmtId="19" fontId="19" fillId="0" borderId="13" xfId="0" applyNumberFormat="1" applyFont="1" applyBorder="1" applyAlignment="1">
      <alignment horizontal="center" vertical="center"/>
    </xf>
    <xf numFmtId="2" fontId="19" fillId="0" borderId="11" xfId="0" applyNumberFormat="1" applyFont="1" applyBorder="1" applyAlignment="1">
      <alignment horizontal="center" vertical="center"/>
    </xf>
    <xf numFmtId="2" fontId="19" fillId="0" borderId="12" xfId="0" applyNumberFormat="1" applyFont="1" applyBorder="1" applyAlignment="1">
      <alignment horizontal="center" vertical="center"/>
    </xf>
    <xf numFmtId="2" fontId="19" fillId="0" borderId="13" xfId="0" applyNumberFormat="1" applyFont="1" applyBorder="1" applyAlignment="1">
      <alignment horizontal="center" vertical="center"/>
    </xf>
    <xf numFmtId="4" fontId="19" fillId="0" borderId="11" xfId="0" applyNumberFormat="1" applyFont="1" applyBorder="1" applyAlignment="1">
      <alignment horizontal="center" vertical="center"/>
    </xf>
    <xf numFmtId="4" fontId="19" fillId="0" borderId="12" xfId="0" applyNumberFormat="1" applyFont="1" applyBorder="1" applyAlignment="1">
      <alignment horizontal="center" vertical="center"/>
    </xf>
    <xf numFmtId="4" fontId="19" fillId="0" borderId="13" xfId="0" applyNumberFormat="1" applyFont="1" applyBorder="1" applyAlignment="1">
      <alignment horizontal="center" vertical="center"/>
    </xf>
    <xf numFmtId="164" fontId="21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2" fontId="21" fillId="0" borderId="0" xfId="0" applyNumberFormat="1" applyFont="1" applyAlignment="1">
      <alignment horizontal="left" vertical="center"/>
    </xf>
    <xf numFmtId="4" fontId="21" fillId="0" borderId="0" xfId="0" applyNumberFormat="1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164" fontId="22" fillId="0" borderId="0" xfId="0" applyNumberFormat="1" applyFont="1" applyAlignment="1">
      <alignment horizontal="left" vertical="center"/>
    </xf>
    <xf numFmtId="19" fontId="19" fillId="0" borderId="10" xfId="0" applyNumberFormat="1" applyFont="1" applyBorder="1" applyAlignment="1">
      <alignment horizontal="center" vertical="center"/>
    </xf>
    <xf numFmtId="0" fontId="24" fillId="0" borderId="0" xfId="0" applyFont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63"/>
  <sheetViews>
    <sheetView tabSelected="1" workbookViewId="0">
      <selection activeCell="M35" sqref="M35"/>
    </sheetView>
  </sheetViews>
  <sheetFormatPr defaultRowHeight="15" x14ac:dyDescent="0.25"/>
  <cols>
    <col min="11" max="11" width="46.42578125" bestFit="1" customWidth="1"/>
    <col min="12" max="12" width="24.28515625" bestFit="1" customWidth="1"/>
    <col min="13" max="13" width="42.1406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3" x14ac:dyDescent="0.25">
      <c r="A2" t="s">
        <v>12</v>
      </c>
      <c r="B2" t="s">
        <v>13</v>
      </c>
      <c r="C2" t="s">
        <v>14</v>
      </c>
      <c r="D2" s="1">
        <v>0.25</v>
      </c>
      <c r="E2" s="1">
        <v>0.41666666666666669</v>
      </c>
      <c r="F2">
        <v>30.5</v>
      </c>
      <c r="G2">
        <v>122</v>
      </c>
      <c r="H2">
        <v>4</v>
      </c>
      <c r="J2" t="s">
        <v>15</v>
      </c>
      <c r="K2" t="s">
        <v>16</v>
      </c>
      <c r="L2" t="s">
        <v>17</v>
      </c>
      <c r="M2" s="44" t="str">
        <f>IF($K2="","",TRIM(MID($K2,FIND(":",$K2)+1,LEN($K2))))</f>
        <v>4 hr |</v>
      </c>
    </row>
    <row r="3" spans="1:13" x14ac:dyDescent="0.25">
      <c r="A3" t="s">
        <v>12</v>
      </c>
      <c r="B3" t="s">
        <v>18</v>
      </c>
      <c r="C3" t="s">
        <v>19</v>
      </c>
      <c r="D3" s="1">
        <v>0.29166666666666669</v>
      </c>
      <c r="E3" s="1">
        <v>0.625</v>
      </c>
      <c r="F3">
        <v>29</v>
      </c>
      <c r="G3">
        <v>232</v>
      </c>
      <c r="H3">
        <v>8</v>
      </c>
      <c r="K3" t="s">
        <v>20</v>
      </c>
      <c r="L3" t="s">
        <v>17</v>
      </c>
      <c r="M3" s="44" t="str">
        <f t="shared" ref="M3:M66" si="0">IF($K3="","",TRIM(MID($K3,FIND(":",$K3)+1,LEN($K3))))</f>
        <v>8 hr |</v>
      </c>
    </row>
    <row r="4" spans="1:13" x14ac:dyDescent="0.25">
      <c r="A4" t="s">
        <v>12</v>
      </c>
      <c r="B4" t="s">
        <v>21</v>
      </c>
      <c r="C4" t="s">
        <v>22</v>
      </c>
      <c r="D4" s="1">
        <v>0.29166666666666669</v>
      </c>
      <c r="E4" s="1">
        <v>0.625</v>
      </c>
      <c r="F4">
        <v>26.88</v>
      </c>
      <c r="G4">
        <v>215.04</v>
      </c>
      <c r="H4">
        <v>8</v>
      </c>
      <c r="K4" t="s">
        <v>20</v>
      </c>
      <c r="L4" t="s">
        <v>23</v>
      </c>
      <c r="M4" s="44" t="str">
        <f t="shared" si="0"/>
        <v>8 hr |</v>
      </c>
    </row>
    <row r="5" spans="1:13" x14ac:dyDescent="0.25">
      <c r="A5" t="s">
        <v>12</v>
      </c>
      <c r="B5" t="s">
        <v>24</v>
      </c>
      <c r="C5" t="s">
        <v>22</v>
      </c>
      <c r="D5" s="1">
        <v>0.29166666666666669</v>
      </c>
      <c r="E5" s="1">
        <v>0.625</v>
      </c>
      <c r="F5">
        <v>26.88</v>
      </c>
      <c r="G5">
        <v>215.04</v>
      </c>
      <c r="H5">
        <v>8</v>
      </c>
      <c r="K5" t="s">
        <v>20</v>
      </c>
      <c r="L5" t="s">
        <v>23</v>
      </c>
      <c r="M5" s="44" t="str">
        <f t="shared" si="0"/>
        <v>8 hr |</v>
      </c>
    </row>
    <row r="6" spans="1:13" x14ac:dyDescent="0.25">
      <c r="A6" t="s">
        <v>12</v>
      </c>
      <c r="B6" t="s">
        <v>25</v>
      </c>
      <c r="C6" t="s">
        <v>26</v>
      </c>
      <c r="D6" s="1">
        <v>0.33333333333333331</v>
      </c>
      <c r="E6" s="1">
        <v>0.66666666666666663</v>
      </c>
      <c r="F6">
        <v>26.88</v>
      </c>
      <c r="G6">
        <v>215.04</v>
      </c>
      <c r="H6">
        <v>8</v>
      </c>
      <c r="J6" t="s">
        <v>15</v>
      </c>
      <c r="K6" t="s">
        <v>20</v>
      </c>
      <c r="L6" t="s">
        <v>23</v>
      </c>
      <c r="M6" s="44" t="str">
        <f t="shared" si="0"/>
        <v>8 hr |</v>
      </c>
    </row>
    <row r="7" spans="1:13" x14ac:dyDescent="0.25">
      <c r="A7" t="s">
        <v>12</v>
      </c>
      <c r="B7" t="s">
        <v>27</v>
      </c>
      <c r="C7" t="s">
        <v>28</v>
      </c>
      <c r="D7" s="1">
        <v>0.33333333333333331</v>
      </c>
      <c r="E7" s="1">
        <v>0.58333333333333337</v>
      </c>
      <c r="F7">
        <v>27.22</v>
      </c>
      <c r="G7">
        <v>163.32</v>
      </c>
      <c r="H7">
        <v>6</v>
      </c>
      <c r="K7" t="s">
        <v>29</v>
      </c>
      <c r="L7" t="s">
        <v>30</v>
      </c>
      <c r="M7" s="44" t="str">
        <f t="shared" si="0"/>
        <v>6 hr |</v>
      </c>
    </row>
    <row r="8" spans="1:13" x14ac:dyDescent="0.25">
      <c r="A8" t="s">
        <v>12</v>
      </c>
      <c r="B8" t="s">
        <v>31</v>
      </c>
      <c r="C8" t="s">
        <v>32</v>
      </c>
      <c r="D8" s="1">
        <v>0.33333333333333331</v>
      </c>
      <c r="E8" s="1">
        <v>0.625</v>
      </c>
      <c r="F8">
        <v>27.22</v>
      </c>
      <c r="G8">
        <v>190.54</v>
      </c>
      <c r="H8">
        <v>7</v>
      </c>
      <c r="I8">
        <v>402</v>
      </c>
      <c r="J8" t="s">
        <v>15</v>
      </c>
      <c r="K8" t="s">
        <v>33</v>
      </c>
      <c r="L8" t="s">
        <v>17</v>
      </c>
      <c r="M8" s="44" t="str">
        <f t="shared" si="0"/>
        <v>7 hr |</v>
      </c>
    </row>
    <row r="9" spans="1:13" x14ac:dyDescent="0.25">
      <c r="A9" t="s">
        <v>12</v>
      </c>
      <c r="B9" t="s">
        <v>34</v>
      </c>
      <c r="C9" t="s">
        <v>35</v>
      </c>
      <c r="D9" s="1">
        <v>0.35416666666666669</v>
      </c>
      <c r="E9" s="1">
        <v>0.66666666666666663</v>
      </c>
      <c r="F9">
        <v>27.22</v>
      </c>
      <c r="G9">
        <v>204.15</v>
      </c>
      <c r="H9">
        <v>7.5</v>
      </c>
      <c r="J9" t="s">
        <v>15</v>
      </c>
      <c r="K9" t="s">
        <v>36</v>
      </c>
      <c r="L9" t="s">
        <v>37</v>
      </c>
      <c r="M9" s="44" t="str">
        <f t="shared" si="0"/>
        <v>7.5 hr |</v>
      </c>
    </row>
    <row r="10" spans="1:13" x14ac:dyDescent="0.25">
      <c r="A10" t="s">
        <v>12</v>
      </c>
      <c r="B10" t="s">
        <v>38</v>
      </c>
      <c r="C10" t="s">
        <v>35</v>
      </c>
      <c r="D10" s="1">
        <v>0.35416666666666669</v>
      </c>
      <c r="E10" s="1">
        <v>0.66666666666666663</v>
      </c>
      <c r="F10">
        <v>26.88</v>
      </c>
      <c r="G10">
        <v>201.6</v>
      </c>
      <c r="H10">
        <v>7.5</v>
      </c>
      <c r="J10" t="s">
        <v>15</v>
      </c>
      <c r="K10" t="s">
        <v>39</v>
      </c>
      <c r="L10" t="s">
        <v>37</v>
      </c>
      <c r="M10" s="44" t="str">
        <f t="shared" si="0"/>
        <v>7.5 hr |</v>
      </c>
    </row>
    <row r="11" spans="1:13" x14ac:dyDescent="0.25">
      <c r="A11" t="s">
        <v>12</v>
      </c>
      <c r="B11" t="s">
        <v>40</v>
      </c>
      <c r="C11" t="s">
        <v>41</v>
      </c>
      <c r="D11" s="1">
        <v>0.375</v>
      </c>
      <c r="E11" s="1">
        <v>0.625</v>
      </c>
      <c r="F11">
        <v>26.88</v>
      </c>
      <c r="G11">
        <v>161.28</v>
      </c>
      <c r="H11">
        <v>6</v>
      </c>
      <c r="K11" t="s">
        <v>42</v>
      </c>
      <c r="L11" t="s">
        <v>17</v>
      </c>
      <c r="M11" s="44" t="str">
        <f t="shared" si="0"/>
        <v>6 hr |</v>
      </c>
    </row>
    <row r="12" spans="1:13" x14ac:dyDescent="0.25">
      <c r="A12" t="s">
        <v>12</v>
      </c>
      <c r="B12" t="s">
        <v>43</v>
      </c>
      <c r="C12" t="s">
        <v>44</v>
      </c>
      <c r="D12" s="1">
        <v>0.375</v>
      </c>
      <c r="E12" s="1">
        <v>0.625</v>
      </c>
      <c r="F12">
        <v>26.88</v>
      </c>
      <c r="G12">
        <v>161.28</v>
      </c>
      <c r="H12">
        <v>6</v>
      </c>
      <c r="J12" t="s">
        <v>15</v>
      </c>
      <c r="K12" t="s">
        <v>42</v>
      </c>
      <c r="L12" t="s">
        <v>17</v>
      </c>
      <c r="M12" s="44" t="str">
        <f t="shared" si="0"/>
        <v>6 hr |</v>
      </c>
    </row>
    <row r="13" spans="1:13" x14ac:dyDescent="0.25">
      <c r="A13" t="s">
        <v>12</v>
      </c>
      <c r="B13" t="s">
        <v>45</v>
      </c>
      <c r="C13" t="s">
        <v>46</v>
      </c>
      <c r="D13" s="1">
        <v>0.375</v>
      </c>
      <c r="E13" s="1">
        <v>0.625</v>
      </c>
      <c r="F13">
        <v>27.22</v>
      </c>
      <c r="G13">
        <v>163.32</v>
      </c>
      <c r="H13">
        <v>6</v>
      </c>
      <c r="I13">
        <v>605</v>
      </c>
      <c r="J13" t="s">
        <v>15</v>
      </c>
      <c r="K13" t="s">
        <v>29</v>
      </c>
      <c r="L13" t="s">
        <v>47</v>
      </c>
      <c r="M13" s="44" t="str">
        <f t="shared" si="0"/>
        <v>6 hr |</v>
      </c>
    </row>
    <row r="14" spans="1:13" x14ac:dyDescent="0.25">
      <c r="A14" t="s">
        <v>12</v>
      </c>
      <c r="B14" t="s">
        <v>48</v>
      </c>
      <c r="C14" t="s">
        <v>49</v>
      </c>
      <c r="D14" s="1">
        <v>0.375</v>
      </c>
      <c r="E14" s="1">
        <v>0.70833333333333337</v>
      </c>
      <c r="F14">
        <v>26.88</v>
      </c>
      <c r="G14">
        <v>215.04</v>
      </c>
      <c r="H14">
        <v>8</v>
      </c>
      <c r="I14" t="s">
        <v>50</v>
      </c>
      <c r="K14" t="s">
        <v>20</v>
      </c>
      <c r="L14" t="s">
        <v>47</v>
      </c>
      <c r="M14" s="44" t="str">
        <f t="shared" si="0"/>
        <v>8 hr |</v>
      </c>
    </row>
    <row r="15" spans="1:13" x14ac:dyDescent="0.25">
      <c r="A15" t="s">
        <v>12</v>
      </c>
      <c r="B15" t="s">
        <v>51</v>
      </c>
      <c r="C15" t="s">
        <v>22</v>
      </c>
      <c r="D15" s="1">
        <v>0.375</v>
      </c>
      <c r="E15" s="1">
        <v>0.70833333333333337</v>
      </c>
      <c r="F15">
        <v>27.22</v>
      </c>
      <c r="G15">
        <v>217.76</v>
      </c>
      <c r="H15">
        <v>8</v>
      </c>
      <c r="K15" t="s">
        <v>52</v>
      </c>
      <c r="L15" t="s">
        <v>23</v>
      </c>
      <c r="M15" s="44" t="str">
        <f t="shared" si="0"/>
        <v>8 hr |</v>
      </c>
    </row>
    <row r="16" spans="1:13" x14ac:dyDescent="0.25">
      <c r="A16" t="s">
        <v>12</v>
      </c>
      <c r="B16" t="s">
        <v>53</v>
      </c>
      <c r="C16" t="s">
        <v>22</v>
      </c>
      <c r="D16" s="1">
        <v>0.375</v>
      </c>
      <c r="E16" s="1">
        <v>0.70833333333333337</v>
      </c>
      <c r="F16">
        <v>26.88</v>
      </c>
      <c r="G16">
        <v>215.04</v>
      </c>
      <c r="H16">
        <v>8</v>
      </c>
      <c r="K16" t="s">
        <v>20</v>
      </c>
      <c r="L16" t="s">
        <v>23</v>
      </c>
      <c r="M16" s="44" t="str">
        <f t="shared" si="0"/>
        <v>8 hr |</v>
      </c>
    </row>
    <row r="17" spans="1:13" x14ac:dyDescent="0.25">
      <c r="A17" t="s">
        <v>12</v>
      </c>
      <c r="B17" t="s">
        <v>54</v>
      </c>
      <c r="C17" t="s">
        <v>55</v>
      </c>
      <c r="D17" s="1">
        <v>0.375</v>
      </c>
      <c r="E17" s="1">
        <v>0.66666666666666663</v>
      </c>
      <c r="F17">
        <v>26.88</v>
      </c>
      <c r="G17">
        <v>188.16</v>
      </c>
      <c r="H17">
        <v>7</v>
      </c>
      <c r="K17" t="s">
        <v>56</v>
      </c>
      <c r="L17" t="s">
        <v>57</v>
      </c>
      <c r="M17" s="44" t="str">
        <f t="shared" si="0"/>
        <v>7 hr |</v>
      </c>
    </row>
    <row r="18" spans="1:13" x14ac:dyDescent="0.25">
      <c r="A18" t="s">
        <v>12</v>
      </c>
      <c r="B18" t="s">
        <v>58</v>
      </c>
      <c r="C18" t="s">
        <v>59</v>
      </c>
      <c r="D18" s="1">
        <v>0.375</v>
      </c>
      <c r="E18" s="1">
        <v>0.66666666666666663</v>
      </c>
      <c r="F18">
        <v>26.88</v>
      </c>
      <c r="G18">
        <v>188.16</v>
      </c>
      <c r="H18">
        <v>7</v>
      </c>
      <c r="J18" t="s">
        <v>15</v>
      </c>
      <c r="K18" t="s">
        <v>56</v>
      </c>
      <c r="L18" t="s">
        <v>57</v>
      </c>
      <c r="M18" s="44" t="str">
        <f t="shared" si="0"/>
        <v>7 hr |</v>
      </c>
    </row>
    <row r="19" spans="1:13" x14ac:dyDescent="0.25">
      <c r="A19" t="s">
        <v>12</v>
      </c>
      <c r="B19" t="s">
        <v>60</v>
      </c>
      <c r="C19" t="s">
        <v>32</v>
      </c>
      <c r="D19" s="1">
        <v>0.375</v>
      </c>
      <c r="E19" s="1">
        <v>0.66666666666666663</v>
      </c>
      <c r="F19">
        <v>27.22</v>
      </c>
      <c r="G19">
        <v>190.54</v>
      </c>
      <c r="H19">
        <v>7</v>
      </c>
      <c r="I19">
        <v>318</v>
      </c>
      <c r="J19" t="s">
        <v>15</v>
      </c>
      <c r="K19" t="s">
        <v>33</v>
      </c>
      <c r="L19" t="s">
        <v>47</v>
      </c>
      <c r="M19" s="44" t="str">
        <f t="shared" si="0"/>
        <v>7 hr |</v>
      </c>
    </row>
    <row r="20" spans="1:13" x14ac:dyDescent="0.25">
      <c r="A20" t="s">
        <v>12</v>
      </c>
      <c r="B20" t="s">
        <v>61</v>
      </c>
      <c r="C20" t="s">
        <v>32</v>
      </c>
      <c r="D20" s="1">
        <v>0.375</v>
      </c>
      <c r="E20" s="1">
        <v>0.625</v>
      </c>
      <c r="F20">
        <v>27.22</v>
      </c>
      <c r="G20">
        <v>163.32</v>
      </c>
      <c r="H20">
        <v>6</v>
      </c>
      <c r="I20">
        <v>211</v>
      </c>
      <c r="J20" t="s">
        <v>15</v>
      </c>
      <c r="K20" t="s">
        <v>29</v>
      </c>
      <c r="L20" t="s">
        <v>17</v>
      </c>
      <c r="M20" s="44" t="str">
        <f t="shared" si="0"/>
        <v>6 hr |</v>
      </c>
    </row>
    <row r="21" spans="1:13" x14ac:dyDescent="0.25">
      <c r="A21" t="s">
        <v>12</v>
      </c>
      <c r="B21" t="s">
        <v>62</v>
      </c>
      <c r="C21" t="s">
        <v>49</v>
      </c>
      <c r="D21" s="1">
        <v>0.375</v>
      </c>
      <c r="E21" s="1">
        <v>0.70833333333333337</v>
      </c>
      <c r="F21">
        <v>27.22</v>
      </c>
      <c r="G21">
        <v>217.76</v>
      </c>
      <c r="H21">
        <v>8</v>
      </c>
      <c r="I21" t="s">
        <v>63</v>
      </c>
      <c r="K21" t="s">
        <v>52</v>
      </c>
      <c r="L21" t="s">
        <v>17</v>
      </c>
      <c r="M21" s="44" t="str">
        <f t="shared" si="0"/>
        <v>8 hr |</v>
      </c>
    </row>
    <row r="22" spans="1:13" x14ac:dyDescent="0.25">
      <c r="A22" t="s">
        <v>12</v>
      </c>
      <c r="B22" t="s">
        <v>64</v>
      </c>
      <c r="C22" t="s">
        <v>65</v>
      </c>
      <c r="D22" s="1">
        <v>0.375</v>
      </c>
      <c r="E22" s="1">
        <v>0.625</v>
      </c>
      <c r="F22">
        <v>31.17</v>
      </c>
      <c r="G22">
        <v>187.02</v>
      </c>
      <c r="H22">
        <v>6</v>
      </c>
      <c r="K22" t="s">
        <v>42</v>
      </c>
      <c r="L22" t="s">
        <v>17</v>
      </c>
      <c r="M22" s="44" t="str">
        <f t="shared" si="0"/>
        <v>6 hr |</v>
      </c>
    </row>
    <row r="23" spans="1:13" x14ac:dyDescent="0.25">
      <c r="A23" t="s">
        <v>12</v>
      </c>
      <c r="B23" t="s">
        <v>66</v>
      </c>
      <c r="C23" t="s">
        <v>46</v>
      </c>
      <c r="D23" s="1">
        <v>0.375</v>
      </c>
      <c r="E23" s="1">
        <v>0.6875</v>
      </c>
      <c r="F23">
        <v>26.88</v>
      </c>
      <c r="G23">
        <v>201.6</v>
      </c>
      <c r="H23">
        <v>7.5</v>
      </c>
      <c r="I23">
        <v>518</v>
      </c>
      <c r="J23" t="s">
        <v>15</v>
      </c>
      <c r="K23" t="s">
        <v>39</v>
      </c>
      <c r="L23" t="s">
        <v>57</v>
      </c>
      <c r="M23" s="44" t="str">
        <f t="shared" si="0"/>
        <v>7.5 hr |</v>
      </c>
    </row>
    <row r="24" spans="1:13" x14ac:dyDescent="0.25">
      <c r="A24" t="s">
        <v>12</v>
      </c>
      <c r="B24" t="s">
        <v>67</v>
      </c>
      <c r="C24" t="s">
        <v>22</v>
      </c>
      <c r="D24" s="1">
        <v>0.41666666666666669</v>
      </c>
      <c r="E24" s="1">
        <v>0.58333333333333337</v>
      </c>
      <c r="F24">
        <v>27.22</v>
      </c>
      <c r="G24">
        <v>108.88</v>
      </c>
      <c r="H24">
        <v>4</v>
      </c>
      <c r="K24" t="s">
        <v>68</v>
      </c>
      <c r="L24" t="s">
        <v>23</v>
      </c>
      <c r="M24" s="44" t="str">
        <f t="shared" si="0"/>
        <v>4 hr |</v>
      </c>
    </row>
    <row r="25" spans="1:13" x14ac:dyDescent="0.25">
      <c r="A25" t="s">
        <v>12</v>
      </c>
      <c r="B25" t="s">
        <v>69</v>
      </c>
      <c r="C25" t="s">
        <v>70</v>
      </c>
      <c r="D25" s="1">
        <v>0.41666666666666669</v>
      </c>
      <c r="E25" s="1">
        <v>0.58333333333333337</v>
      </c>
      <c r="F25">
        <v>30.5</v>
      </c>
      <c r="G25">
        <v>122</v>
      </c>
      <c r="H25">
        <v>4</v>
      </c>
      <c r="K25" t="s">
        <v>16</v>
      </c>
      <c r="L25" t="s">
        <v>57</v>
      </c>
      <c r="M25" s="44" t="str">
        <f t="shared" si="0"/>
        <v>4 hr |</v>
      </c>
    </row>
    <row r="26" spans="1:13" x14ac:dyDescent="0.25">
      <c r="A26" t="s">
        <v>12</v>
      </c>
      <c r="B26" t="s">
        <v>71</v>
      </c>
      <c r="C26" t="s">
        <v>70</v>
      </c>
      <c r="D26" s="1">
        <v>0.41666666666666669</v>
      </c>
      <c r="E26" s="1">
        <v>0.58333333333333337</v>
      </c>
      <c r="F26">
        <v>30.5</v>
      </c>
      <c r="G26">
        <v>122</v>
      </c>
      <c r="H26">
        <v>4</v>
      </c>
      <c r="K26" t="s">
        <v>16</v>
      </c>
      <c r="L26" t="s">
        <v>17</v>
      </c>
      <c r="M26" s="44" t="str">
        <f t="shared" si="0"/>
        <v>4 hr |</v>
      </c>
    </row>
    <row r="27" spans="1:13" x14ac:dyDescent="0.25">
      <c r="A27" t="s">
        <v>12</v>
      </c>
      <c r="B27" t="s">
        <v>71</v>
      </c>
      <c r="C27" t="s">
        <v>70</v>
      </c>
      <c r="D27" s="1">
        <v>0.41666666666666669</v>
      </c>
      <c r="E27" s="1">
        <v>0.58333333333333337</v>
      </c>
      <c r="F27">
        <v>30.5</v>
      </c>
      <c r="G27">
        <v>0</v>
      </c>
      <c r="H27">
        <v>4</v>
      </c>
      <c r="K27" t="s">
        <v>16</v>
      </c>
      <c r="L27" t="s">
        <v>57</v>
      </c>
      <c r="M27" s="44" t="str">
        <f t="shared" si="0"/>
        <v>4 hr |</v>
      </c>
    </row>
    <row r="28" spans="1:13" x14ac:dyDescent="0.25">
      <c r="A28" t="s">
        <v>12</v>
      </c>
      <c r="B28" t="s">
        <v>72</v>
      </c>
      <c r="C28" t="s">
        <v>73</v>
      </c>
      <c r="D28" s="1">
        <v>0.45833333333333331</v>
      </c>
      <c r="E28" s="1">
        <v>0.625</v>
      </c>
      <c r="F28">
        <v>22</v>
      </c>
      <c r="G28">
        <v>88</v>
      </c>
      <c r="H28">
        <v>4</v>
      </c>
      <c r="K28" t="s">
        <v>16</v>
      </c>
      <c r="L28" t="s">
        <v>57</v>
      </c>
      <c r="M28" s="44" t="str">
        <f t="shared" si="0"/>
        <v>4 hr |</v>
      </c>
    </row>
    <row r="29" spans="1:13" x14ac:dyDescent="0.25">
      <c r="A29" t="s">
        <v>12</v>
      </c>
      <c r="B29" t="s">
        <v>74</v>
      </c>
      <c r="C29" t="s">
        <v>75</v>
      </c>
      <c r="D29" s="1">
        <v>0.5</v>
      </c>
      <c r="E29" s="1">
        <v>0.79166666666666663</v>
      </c>
      <c r="F29">
        <v>26.88</v>
      </c>
      <c r="G29">
        <v>188.16</v>
      </c>
      <c r="H29">
        <v>7</v>
      </c>
      <c r="K29" t="s">
        <v>56</v>
      </c>
      <c r="L29" t="s">
        <v>37</v>
      </c>
      <c r="M29" s="44" t="str">
        <f t="shared" si="0"/>
        <v>7 hr |</v>
      </c>
    </row>
    <row r="30" spans="1:13" x14ac:dyDescent="0.25">
      <c r="A30" t="s">
        <v>12</v>
      </c>
      <c r="B30" t="s">
        <v>76</v>
      </c>
      <c r="C30" t="s">
        <v>28</v>
      </c>
      <c r="D30" s="1">
        <v>0.58333333333333337</v>
      </c>
      <c r="E30" s="1">
        <v>0.91666666666666663</v>
      </c>
      <c r="F30">
        <v>26.88</v>
      </c>
      <c r="G30">
        <v>215.04</v>
      </c>
      <c r="H30">
        <v>8</v>
      </c>
      <c r="K30" t="s">
        <v>20</v>
      </c>
      <c r="L30" t="s">
        <v>57</v>
      </c>
      <c r="M30" s="44" t="str">
        <f t="shared" si="0"/>
        <v>8 hr |</v>
      </c>
    </row>
    <row r="31" spans="1:13" x14ac:dyDescent="0.25">
      <c r="A31" t="s">
        <v>12</v>
      </c>
      <c r="B31" t="s">
        <v>67</v>
      </c>
      <c r="C31" t="s">
        <v>22</v>
      </c>
      <c r="D31" s="1">
        <v>0.625</v>
      </c>
      <c r="E31" s="1">
        <v>0.95833333333333337</v>
      </c>
      <c r="F31">
        <v>27.22</v>
      </c>
      <c r="G31">
        <v>217.76</v>
      </c>
      <c r="H31">
        <v>8</v>
      </c>
      <c r="K31" t="s">
        <v>52</v>
      </c>
      <c r="L31" t="s">
        <v>23</v>
      </c>
      <c r="M31" s="44" t="str">
        <f t="shared" si="0"/>
        <v>8 hr |</v>
      </c>
    </row>
    <row r="32" spans="1:13" x14ac:dyDescent="0.25">
      <c r="A32" t="s">
        <v>12</v>
      </c>
      <c r="B32" t="s">
        <v>77</v>
      </c>
      <c r="C32" t="s">
        <v>78</v>
      </c>
      <c r="D32" s="1">
        <v>0.625</v>
      </c>
      <c r="E32" s="1">
        <v>0.95833333333333337</v>
      </c>
      <c r="F32">
        <v>35</v>
      </c>
      <c r="G32">
        <v>280</v>
      </c>
      <c r="H32">
        <v>8</v>
      </c>
      <c r="K32" t="s">
        <v>20</v>
      </c>
      <c r="L32" t="s">
        <v>57</v>
      </c>
      <c r="M32" s="44" t="str">
        <f t="shared" si="0"/>
        <v>8 hr |</v>
      </c>
    </row>
    <row r="33" spans="1:13" x14ac:dyDescent="0.25">
      <c r="A33" t="s">
        <v>12</v>
      </c>
      <c r="B33" t="s">
        <v>79</v>
      </c>
      <c r="C33" t="s">
        <v>28</v>
      </c>
      <c r="D33" s="1">
        <v>0.625</v>
      </c>
      <c r="E33" s="1">
        <v>0.95833333333333337</v>
      </c>
      <c r="F33">
        <v>27.22</v>
      </c>
      <c r="G33">
        <v>217.76</v>
      </c>
      <c r="H33">
        <v>8</v>
      </c>
      <c r="K33" t="s">
        <v>52</v>
      </c>
      <c r="L33" t="s">
        <v>57</v>
      </c>
      <c r="M33" s="44" t="str">
        <f t="shared" si="0"/>
        <v>8 hr |</v>
      </c>
    </row>
    <row r="34" spans="1:13" x14ac:dyDescent="0.25">
      <c r="A34" t="s">
        <v>12</v>
      </c>
      <c r="B34" t="s">
        <v>31</v>
      </c>
      <c r="C34" t="s">
        <v>46</v>
      </c>
      <c r="D34" s="1">
        <v>0.63541666666666663</v>
      </c>
      <c r="E34" s="1">
        <v>0.95833333333333337</v>
      </c>
      <c r="F34">
        <v>27.22</v>
      </c>
      <c r="G34">
        <v>210.96</v>
      </c>
      <c r="H34">
        <v>7.75</v>
      </c>
      <c r="I34">
        <v>617</v>
      </c>
      <c r="J34" t="s">
        <v>15</v>
      </c>
      <c r="K34" t="s">
        <v>80</v>
      </c>
      <c r="L34" t="s">
        <v>57</v>
      </c>
      <c r="M34" s="44" t="str">
        <f t="shared" si="0"/>
        <v>7.75 hr |</v>
      </c>
    </row>
    <row r="35" spans="1:13" x14ac:dyDescent="0.25">
      <c r="A35" t="s">
        <v>12</v>
      </c>
      <c r="B35" t="s">
        <v>81</v>
      </c>
      <c r="C35" t="s">
        <v>35</v>
      </c>
      <c r="D35" s="1">
        <v>0.66666666666666663</v>
      </c>
      <c r="E35" s="1">
        <v>0.95833333333333337</v>
      </c>
      <c r="F35">
        <v>26.88</v>
      </c>
      <c r="G35">
        <v>188.16</v>
      </c>
      <c r="H35">
        <v>7</v>
      </c>
      <c r="J35" t="s">
        <v>15</v>
      </c>
      <c r="K35" t="s">
        <v>56</v>
      </c>
      <c r="L35" t="s">
        <v>37</v>
      </c>
      <c r="M35" s="44" t="str">
        <f t="shared" si="0"/>
        <v>7 hr |</v>
      </c>
    </row>
    <row r="36" spans="1:13" x14ac:dyDescent="0.25">
      <c r="A36" t="s">
        <v>12</v>
      </c>
      <c r="B36" t="s">
        <v>82</v>
      </c>
      <c r="C36" t="s">
        <v>75</v>
      </c>
      <c r="D36" s="1">
        <v>0.70833333333333337</v>
      </c>
      <c r="E36" s="1">
        <v>0.95833333333333337</v>
      </c>
      <c r="F36">
        <v>27.22</v>
      </c>
      <c r="G36">
        <v>163.32</v>
      </c>
      <c r="H36">
        <v>6</v>
      </c>
      <c r="K36" t="s">
        <v>29</v>
      </c>
      <c r="L36" t="s">
        <v>37</v>
      </c>
      <c r="M36" s="44" t="str">
        <f t="shared" si="0"/>
        <v>6 hr |</v>
      </c>
    </row>
    <row r="37" spans="1:13" x14ac:dyDescent="0.25">
      <c r="A37" t="s">
        <v>12</v>
      </c>
      <c r="B37" t="s">
        <v>83</v>
      </c>
      <c r="C37" t="s">
        <v>46</v>
      </c>
      <c r="D37" s="1">
        <v>0.70833333333333337</v>
      </c>
      <c r="E37" s="1">
        <v>0.95833333333333337</v>
      </c>
      <c r="F37">
        <v>27.22</v>
      </c>
      <c r="G37">
        <v>163.32</v>
      </c>
      <c r="H37">
        <v>6</v>
      </c>
      <c r="I37">
        <v>418</v>
      </c>
      <c r="J37" t="s">
        <v>15</v>
      </c>
      <c r="K37" t="s">
        <v>29</v>
      </c>
      <c r="L37" t="s">
        <v>17</v>
      </c>
      <c r="M37" s="44" t="str">
        <f t="shared" si="0"/>
        <v>6 hr |</v>
      </c>
    </row>
    <row r="38" spans="1:13" x14ac:dyDescent="0.25">
      <c r="A38" t="s">
        <v>12</v>
      </c>
      <c r="B38" t="s">
        <v>72</v>
      </c>
      <c r="C38" t="s">
        <v>46</v>
      </c>
      <c r="D38" s="1">
        <v>0.70833333333333337</v>
      </c>
      <c r="E38" s="1">
        <v>0.95833333333333337</v>
      </c>
      <c r="F38">
        <v>27.22</v>
      </c>
      <c r="G38">
        <v>163.32</v>
      </c>
      <c r="H38">
        <v>6</v>
      </c>
      <c r="I38">
        <v>411</v>
      </c>
      <c r="J38" t="s">
        <v>15</v>
      </c>
      <c r="K38" t="s">
        <v>29</v>
      </c>
      <c r="L38" t="s">
        <v>47</v>
      </c>
      <c r="M38" s="44" t="str">
        <f t="shared" si="0"/>
        <v>6 hr |</v>
      </c>
    </row>
    <row r="39" spans="1:13" x14ac:dyDescent="0.25">
      <c r="A39" t="s">
        <v>12</v>
      </c>
      <c r="B39" t="s">
        <v>84</v>
      </c>
      <c r="C39" t="s">
        <v>49</v>
      </c>
      <c r="D39" s="1">
        <v>0.70833333333333337</v>
      </c>
      <c r="E39" s="1">
        <v>0.95833333333333337</v>
      </c>
      <c r="F39">
        <v>26.88</v>
      </c>
      <c r="G39">
        <v>161.28</v>
      </c>
      <c r="H39">
        <v>6</v>
      </c>
      <c r="I39" t="s">
        <v>50</v>
      </c>
      <c r="K39" t="s">
        <v>42</v>
      </c>
      <c r="L39" t="s">
        <v>47</v>
      </c>
      <c r="M39" s="44" t="str">
        <f t="shared" si="0"/>
        <v>6 hr |</v>
      </c>
    </row>
    <row r="40" spans="1:13" x14ac:dyDescent="0.25">
      <c r="A40" t="s">
        <v>12</v>
      </c>
      <c r="B40" t="s">
        <v>85</v>
      </c>
      <c r="C40" t="s">
        <v>49</v>
      </c>
      <c r="D40" s="1">
        <v>0.70833333333333337</v>
      </c>
      <c r="E40" s="1">
        <v>0.95833333333333337</v>
      </c>
      <c r="F40">
        <v>27.22</v>
      </c>
      <c r="G40">
        <v>163.32</v>
      </c>
      <c r="H40">
        <v>6</v>
      </c>
      <c r="I40" t="s">
        <v>50</v>
      </c>
      <c r="K40" t="s">
        <v>29</v>
      </c>
      <c r="L40" t="s">
        <v>47</v>
      </c>
      <c r="M40" s="44" t="str">
        <f t="shared" si="0"/>
        <v>6 hr |</v>
      </c>
    </row>
    <row r="41" spans="1:13" x14ac:dyDescent="0.25">
      <c r="A41" t="s">
        <v>12</v>
      </c>
      <c r="B41" t="s">
        <v>86</v>
      </c>
      <c r="C41" t="s">
        <v>55</v>
      </c>
      <c r="D41" s="1">
        <v>0.70833333333333337</v>
      </c>
      <c r="E41" s="1">
        <v>0.91666666666666663</v>
      </c>
      <c r="F41">
        <v>26.88</v>
      </c>
      <c r="G41">
        <v>134.4</v>
      </c>
      <c r="H41">
        <v>5</v>
      </c>
      <c r="K41" t="s">
        <v>87</v>
      </c>
      <c r="L41" t="s">
        <v>57</v>
      </c>
      <c r="M41" s="44" t="str">
        <f t="shared" si="0"/>
        <v>5 hr |</v>
      </c>
    </row>
    <row r="42" spans="1:13" x14ac:dyDescent="0.25">
      <c r="A42" t="s">
        <v>12</v>
      </c>
      <c r="B42" t="s">
        <v>25</v>
      </c>
      <c r="C42" t="s">
        <v>26</v>
      </c>
      <c r="D42" s="1">
        <v>0.91666666666666663</v>
      </c>
      <c r="E42" s="1">
        <v>0.33333333333333331</v>
      </c>
      <c r="F42">
        <v>163.1</v>
      </c>
      <c r="G42">
        <v>243.74</v>
      </c>
      <c r="H42">
        <v>10</v>
      </c>
      <c r="J42" t="s">
        <v>88</v>
      </c>
      <c r="K42" t="s">
        <v>89</v>
      </c>
      <c r="L42" t="s">
        <v>23</v>
      </c>
      <c r="M42" s="44" t="str">
        <f t="shared" si="0"/>
        <v>shift | 02 - HOURLY: 3 hr |</v>
      </c>
    </row>
    <row r="43" spans="1:13" x14ac:dyDescent="0.25">
      <c r="A43" t="s">
        <v>12</v>
      </c>
      <c r="B43" t="s">
        <v>90</v>
      </c>
      <c r="C43" t="s">
        <v>91</v>
      </c>
      <c r="D43" s="1">
        <v>0.91666666666666663</v>
      </c>
      <c r="E43" s="1">
        <v>0.35416666666666669</v>
      </c>
      <c r="F43">
        <v>31.17</v>
      </c>
      <c r="G43">
        <v>327.29000000000002</v>
      </c>
      <c r="H43">
        <v>10.5</v>
      </c>
      <c r="K43" t="s">
        <v>92</v>
      </c>
      <c r="L43" t="s">
        <v>57</v>
      </c>
      <c r="M43" s="44" t="str">
        <f t="shared" si="0"/>
        <v>10.5 hr |</v>
      </c>
    </row>
    <row r="44" spans="1:13" x14ac:dyDescent="0.25">
      <c r="A44" t="s">
        <v>12</v>
      </c>
      <c r="B44" t="s">
        <v>93</v>
      </c>
      <c r="C44" t="s">
        <v>75</v>
      </c>
      <c r="D44" s="1">
        <v>0.95833333333333337</v>
      </c>
      <c r="E44" s="1">
        <v>0.375</v>
      </c>
      <c r="F44">
        <v>27.22</v>
      </c>
      <c r="G44">
        <v>272.2</v>
      </c>
      <c r="H44">
        <v>10</v>
      </c>
      <c r="K44" t="s">
        <v>94</v>
      </c>
      <c r="L44" t="s">
        <v>37</v>
      </c>
      <c r="M44" s="44" t="str">
        <f t="shared" si="0"/>
        <v>10 hr |</v>
      </c>
    </row>
    <row r="45" spans="1:13" x14ac:dyDescent="0.25">
      <c r="A45" t="s">
        <v>12</v>
      </c>
      <c r="B45" t="s">
        <v>95</v>
      </c>
      <c r="C45" t="s">
        <v>46</v>
      </c>
      <c r="D45" s="1">
        <v>0.95833333333333337</v>
      </c>
      <c r="E45" s="1">
        <v>0.375</v>
      </c>
      <c r="F45">
        <v>27.22</v>
      </c>
      <c r="G45">
        <v>272.2</v>
      </c>
      <c r="H45">
        <v>10</v>
      </c>
      <c r="I45">
        <v>318</v>
      </c>
      <c r="J45" t="s">
        <v>15</v>
      </c>
      <c r="K45" t="s">
        <v>94</v>
      </c>
      <c r="L45" t="s">
        <v>17</v>
      </c>
      <c r="M45" s="44" t="str">
        <f t="shared" si="0"/>
        <v>10 hr |</v>
      </c>
    </row>
    <row r="46" spans="1:13" x14ac:dyDescent="0.25">
      <c r="A46" t="s">
        <v>12</v>
      </c>
      <c r="B46" t="s">
        <v>96</v>
      </c>
      <c r="C46" t="s">
        <v>35</v>
      </c>
      <c r="D46" s="1">
        <v>0.95833333333333337</v>
      </c>
      <c r="E46" s="1">
        <v>0.375</v>
      </c>
      <c r="F46">
        <v>26.88</v>
      </c>
      <c r="G46">
        <v>268.8</v>
      </c>
      <c r="H46">
        <v>10</v>
      </c>
      <c r="J46" t="s">
        <v>15</v>
      </c>
      <c r="K46" t="s">
        <v>97</v>
      </c>
      <c r="L46" t="s">
        <v>37</v>
      </c>
      <c r="M46" s="44" t="str">
        <f t="shared" si="0"/>
        <v>10 hr |</v>
      </c>
    </row>
    <row r="47" spans="1:13" x14ac:dyDescent="0.25">
      <c r="A47" t="s">
        <v>12</v>
      </c>
      <c r="B47" t="s">
        <v>45</v>
      </c>
      <c r="C47" t="s">
        <v>46</v>
      </c>
      <c r="D47" s="1">
        <v>0.95833333333333337</v>
      </c>
      <c r="E47" s="1">
        <v>0.375</v>
      </c>
      <c r="F47">
        <v>27.22</v>
      </c>
      <c r="G47">
        <v>272.2</v>
      </c>
      <c r="H47">
        <v>10</v>
      </c>
      <c r="I47">
        <v>605</v>
      </c>
      <c r="J47" t="s">
        <v>15</v>
      </c>
      <c r="K47" t="s">
        <v>94</v>
      </c>
      <c r="L47" t="s">
        <v>47</v>
      </c>
      <c r="M47" s="44" t="str">
        <f t="shared" si="0"/>
        <v>10 hr |</v>
      </c>
    </row>
    <row r="48" spans="1:13" x14ac:dyDescent="0.25">
      <c r="A48" t="s">
        <v>12</v>
      </c>
      <c r="B48" t="s">
        <v>98</v>
      </c>
      <c r="C48" t="s">
        <v>46</v>
      </c>
      <c r="D48" s="1">
        <v>0.95833333333333337</v>
      </c>
      <c r="E48" s="1">
        <v>0.375</v>
      </c>
      <c r="F48">
        <v>27.22</v>
      </c>
      <c r="G48">
        <v>272.2</v>
      </c>
      <c r="H48">
        <v>10</v>
      </c>
      <c r="I48" t="s">
        <v>99</v>
      </c>
      <c r="J48" t="s">
        <v>15</v>
      </c>
      <c r="K48" t="s">
        <v>94</v>
      </c>
      <c r="L48" t="s">
        <v>47</v>
      </c>
      <c r="M48" s="44" t="str">
        <f t="shared" si="0"/>
        <v>10 hr |</v>
      </c>
    </row>
    <row r="49" spans="1:13" x14ac:dyDescent="0.25">
      <c r="A49" t="s">
        <v>100</v>
      </c>
      <c r="B49" t="s">
        <v>101</v>
      </c>
      <c r="C49" t="s">
        <v>78</v>
      </c>
      <c r="D49" s="1">
        <v>0.29166666666666669</v>
      </c>
      <c r="E49" s="1">
        <v>0.625</v>
      </c>
      <c r="F49">
        <v>35</v>
      </c>
      <c r="G49">
        <v>280</v>
      </c>
      <c r="H49">
        <v>8</v>
      </c>
      <c r="K49" t="s">
        <v>20</v>
      </c>
      <c r="L49" t="s">
        <v>57</v>
      </c>
      <c r="M49" s="44" t="str">
        <f t="shared" si="0"/>
        <v>8 hr |</v>
      </c>
    </row>
    <row r="50" spans="1:13" x14ac:dyDescent="0.25">
      <c r="A50" t="s">
        <v>100</v>
      </c>
      <c r="B50" t="s">
        <v>102</v>
      </c>
      <c r="C50" t="s">
        <v>14</v>
      </c>
      <c r="D50" s="1">
        <v>0.29166666666666669</v>
      </c>
      <c r="E50" s="1">
        <v>0.625</v>
      </c>
      <c r="F50">
        <v>30.5</v>
      </c>
      <c r="G50">
        <v>244</v>
      </c>
      <c r="H50">
        <v>8</v>
      </c>
      <c r="J50" t="s">
        <v>15</v>
      </c>
      <c r="K50" t="s">
        <v>20</v>
      </c>
      <c r="L50" t="s">
        <v>17</v>
      </c>
      <c r="M50" s="44" t="str">
        <f t="shared" si="0"/>
        <v>8 hr |</v>
      </c>
    </row>
    <row r="51" spans="1:13" x14ac:dyDescent="0.25">
      <c r="A51" t="s">
        <v>100</v>
      </c>
      <c r="B51" t="s">
        <v>74</v>
      </c>
      <c r="C51" t="s">
        <v>75</v>
      </c>
      <c r="D51" s="1">
        <v>0.29166666666666669</v>
      </c>
      <c r="E51" s="1">
        <v>0.45833333333333331</v>
      </c>
      <c r="F51">
        <v>26.88</v>
      </c>
      <c r="G51">
        <v>107.52</v>
      </c>
      <c r="H51">
        <v>4</v>
      </c>
      <c r="K51" t="s">
        <v>16</v>
      </c>
      <c r="L51" t="s">
        <v>37</v>
      </c>
      <c r="M51" s="44" t="str">
        <f t="shared" si="0"/>
        <v>4 hr |</v>
      </c>
    </row>
    <row r="52" spans="1:13" x14ac:dyDescent="0.25">
      <c r="A52" t="s">
        <v>100</v>
      </c>
      <c r="B52" t="s">
        <v>103</v>
      </c>
      <c r="C52" t="s">
        <v>26</v>
      </c>
      <c r="D52" s="1">
        <v>0.33333333333333331</v>
      </c>
      <c r="E52" s="1">
        <v>0.66666666666666663</v>
      </c>
      <c r="F52">
        <v>26.88</v>
      </c>
      <c r="G52">
        <v>215.04</v>
      </c>
      <c r="H52">
        <v>8</v>
      </c>
      <c r="J52" t="s">
        <v>15</v>
      </c>
      <c r="K52" t="s">
        <v>20</v>
      </c>
      <c r="L52" t="s">
        <v>23</v>
      </c>
      <c r="M52" s="44" t="str">
        <f t="shared" si="0"/>
        <v>8 hr |</v>
      </c>
    </row>
    <row r="53" spans="1:13" x14ac:dyDescent="0.25">
      <c r="A53" t="s">
        <v>100</v>
      </c>
      <c r="B53" t="s">
        <v>25</v>
      </c>
      <c r="C53" t="s">
        <v>26</v>
      </c>
      <c r="D53" s="1">
        <v>0.33333333333333331</v>
      </c>
      <c r="E53" s="1">
        <v>0.66666666666666663</v>
      </c>
      <c r="F53">
        <v>26.88</v>
      </c>
      <c r="G53">
        <v>215.04</v>
      </c>
      <c r="H53">
        <v>8</v>
      </c>
      <c r="J53" t="s">
        <v>15</v>
      </c>
      <c r="K53" t="s">
        <v>20</v>
      </c>
      <c r="L53" t="s">
        <v>23</v>
      </c>
      <c r="M53" s="44" t="str">
        <f t="shared" si="0"/>
        <v>8 hr |</v>
      </c>
    </row>
    <row r="54" spans="1:13" x14ac:dyDescent="0.25">
      <c r="A54" t="s">
        <v>100</v>
      </c>
      <c r="B54" t="s">
        <v>38</v>
      </c>
      <c r="C54" t="s">
        <v>35</v>
      </c>
      <c r="D54" s="1">
        <v>0.35416666666666669</v>
      </c>
      <c r="E54" s="1">
        <v>0.625</v>
      </c>
      <c r="F54">
        <v>26.88</v>
      </c>
      <c r="G54">
        <v>174.72</v>
      </c>
      <c r="H54">
        <v>6.5</v>
      </c>
      <c r="J54" t="s">
        <v>15</v>
      </c>
      <c r="K54" t="s">
        <v>104</v>
      </c>
      <c r="L54" t="s">
        <v>37</v>
      </c>
      <c r="M54" s="44" t="str">
        <f t="shared" si="0"/>
        <v>6.5 hr |</v>
      </c>
    </row>
    <row r="55" spans="1:13" x14ac:dyDescent="0.25">
      <c r="A55" t="s">
        <v>100</v>
      </c>
      <c r="B55" t="s">
        <v>18</v>
      </c>
      <c r="C55" t="s">
        <v>35</v>
      </c>
      <c r="D55" s="1">
        <v>0.35416666666666669</v>
      </c>
      <c r="E55" s="1">
        <v>0.625</v>
      </c>
      <c r="F55">
        <v>26.88</v>
      </c>
      <c r="G55">
        <v>174.72</v>
      </c>
      <c r="H55">
        <v>6.5</v>
      </c>
      <c r="J55" t="s">
        <v>15</v>
      </c>
      <c r="K55" t="s">
        <v>104</v>
      </c>
      <c r="L55" t="s">
        <v>37</v>
      </c>
      <c r="M55" s="44" t="str">
        <f t="shared" si="0"/>
        <v>6.5 hr |</v>
      </c>
    </row>
    <row r="56" spans="1:13" x14ac:dyDescent="0.25">
      <c r="A56" t="s">
        <v>100</v>
      </c>
      <c r="B56" t="s">
        <v>105</v>
      </c>
      <c r="C56" t="s">
        <v>35</v>
      </c>
      <c r="D56" s="1">
        <v>0.35416666666666669</v>
      </c>
      <c r="E56" s="1">
        <v>0.625</v>
      </c>
      <c r="F56">
        <v>26.88</v>
      </c>
      <c r="G56">
        <v>0</v>
      </c>
      <c r="H56">
        <v>6.5</v>
      </c>
      <c r="J56" t="s">
        <v>15</v>
      </c>
      <c r="K56" t="s">
        <v>106</v>
      </c>
      <c r="L56" t="s">
        <v>37</v>
      </c>
      <c r="M56" s="44" t="str">
        <f t="shared" si="0"/>
        <v>0 hr |</v>
      </c>
    </row>
    <row r="57" spans="1:13" x14ac:dyDescent="0.25">
      <c r="A57" t="s">
        <v>100</v>
      </c>
      <c r="B57" t="s">
        <v>105</v>
      </c>
      <c r="C57" t="s">
        <v>35</v>
      </c>
      <c r="D57" s="1">
        <v>0.35416666666666669</v>
      </c>
      <c r="E57" s="1">
        <v>0.625</v>
      </c>
      <c r="F57">
        <v>26.88</v>
      </c>
      <c r="G57">
        <v>0</v>
      </c>
      <c r="H57">
        <v>6.5</v>
      </c>
      <c r="J57" t="s">
        <v>15</v>
      </c>
      <c r="K57" t="s">
        <v>106</v>
      </c>
      <c r="L57" t="s">
        <v>37</v>
      </c>
      <c r="M57" s="44" t="str">
        <f t="shared" si="0"/>
        <v>0 hr |</v>
      </c>
    </row>
    <row r="58" spans="1:13" x14ac:dyDescent="0.25">
      <c r="A58" t="s">
        <v>100</v>
      </c>
      <c r="B58" t="s">
        <v>84</v>
      </c>
      <c r="C58" t="s">
        <v>49</v>
      </c>
      <c r="D58" s="1">
        <v>0.375</v>
      </c>
      <c r="E58" s="1">
        <v>0.70833333333333337</v>
      </c>
      <c r="F58">
        <v>26.88</v>
      </c>
      <c r="G58">
        <v>215.04</v>
      </c>
      <c r="H58">
        <v>8</v>
      </c>
      <c r="I58" t="s">
        <v>50</v>
      </c>
      <c r="K58" t="s">
        <v>20</v>
      </c>
      <c r="L58" t="s">
        <v>47</v>
      </c>
      <c r="M58" s="44" t="str">
        <f t="shared" si="0"/>
        <v>8 hr |</v>
      </c>
    </row>
    <row r="59" spans="1:13" x14ac:dyDescent="0.25">
      <c r="A59" t="s">
        <v>100</v>
      </c>
      <c r="B59" t="s">
        <v>67</v>
      </c>
      <c r="C59" t="s">
        <v>22</v>
      </c>
      <c r="D59" s="1">
        <v>0.375</v>
      </c>
      <c r="E59" s="1">
        <v>0.70833333333333337</v>
      </c>
      <c r="F59">
        <v>27.22</v>
      </c>
      <c r="G59">
        <v>217.76</v>
      </c>
      <c r="H59">
        <v>8</v>
      </c>
      <c r="K59" t="s">
        <v>52</v>
      </c>
      <c r="L59" t="s">
        <v>23</v>
      </c>
      <c r="M59" s="44" t="str">
        <f t="shared" si="0"/>
        <v>8 hr |</v>
      </c>
    </row>
    <row r="60" spans="1:13" x14ac:dyDescent="0.25">
      <c r="A60" t="s">
        <v>100</v>
      </c>
      <c r="B60" t="s">
        <v>107</v>
      </c>
      <c r="C60" t="s">
        <v>55</v>
      </c>
      <c r="D60" s="1">
        <v>0.375</v>
      </c>
      <c r="E60" s="1">
        <v>0.625</v>
      </c>
      <c r="F60">
        <v>26.88</v>
      </c>
      <c r="G60">
        <v>161.28</v>
      </c>
      <c r="H60">
        <v>6</v>
      </c>
      <c r="K60" t="s">
        <v>42</v>
      </c>
      <c r="L60" t="s">
        <v>57</v>
      </c>
      <c r="M60" s="44" t="str">
        <f t="shared" si="0"/>
        <v>6 hr |</v>
      </c>
    </row>
    <row r="61" spans="1:13" x14ac:dyDescent="0.25">
      <c r="A61" t="s">
        <v>100</v>
      </c>
      <c r="B61" t="s">
        <v>69</v>
      </c>
      <c r="C61" t="s">
        <v>70</v>
      </c>
      <c r="D61" s="1">
        <v>0.375</v>
      </c>
      <c r="E61" s="1">
        <v>0.625</v>
      </c>
      <c r="F61">
        <v>30.5</v>
      </c>
      <c r="G61">
        <v>183</v>
      </c>
      <c r="H61">
        <v>6</v>
      </c>
      <c r="K61" t="s">
        <v>42</v>
      </c>
      <c r="L61" t="s">
        <v>57</v>
      </c>
      <c r="M61" s="44" t="str">
        <f t="shared" si="0"/>
        <v>6 hr |</v>
      </c>
    </row>
    <row r="62" spans="1:13" x14ac:dyDescent="0.25">
      <c r="A62" t="s">
        <v>100</v>
      </c>
      <c r="B62" t="s">
        <v>86</v>
      </c>
      <c r="C62" t="s">
        <v>59</v>
      </c>
      <c r="D62" s="1">
        <v>0.375</v>
      </c>
      <c r="E62" s="1">
        <v>0.58333333333333337</v>
      </c>
      <c r="F62">
        <v>26.88</v>
      </c>
      <c r="G62">
        <v>134.4</v>
      </c>
      <c r="H62">
        <v>5</v>
      </c>
      <c r="J62" t="s">
        <v>15</v>
      </c>
      <c r="K62" t="s">
        <v>87</v>
      </c>
      <c r="L62" t="s">
        <v>57</v>
      </c>
      <c r="M62" s="44" t="str">
        <f t="shared" si="0"/>
        <v>5 hr |</v>
      </c>
    </row>
    <row r="63" spans="1:13" x14ac:dyDescent="0.25">
      <c r="A63" t="s">
        <v>100</v>
      </c>
      <c r="B63" t="s">
        <v>27</v>
      </c>
      <c r="C63" t="s">
        <v>46</v>
      </c>
      <c r="D63" s="1">
        <v>0.375</v>
      </c>
      <c r="E63" s="1">
        <v>0.625</v>
      </c>
      <c r="F63">
        <v>27.22</v>
      </c>
      <c r="G63">
        <v>163.32</v>
      </c>
      <c r="H63">
        <v>6</v>
      </c>
      <c r="I63">
        <v>518</v>
      </c>
      <c r="J63" t="s">
        <v>15</v>
      </c>
      <c r="K63" t="s">
        <v>29</v>
      </c>
      <c r="L63" t="s">
        <v>17</v>
      </c>
      <c r="M63" s="44" t="str">
        <f t="shared" si="0"/>
        <v>6 hr |</v>
      </c>
    </row>
    <row r="64" spans="1:13" x14ac:dyDescent="0.25">
      <c r="A64" t="s">
        <v>100</v>
      </c>
      <c r="B64" t="s">
        <v>76</v>
      </c>
      <c r="C64" t="s">
        <v>28</v>
      </c>
      <c r="D64" s="1">
        <v>0.375</v>
      </c>
      <c r="E64" s="1">
        <v>0.58333333333333337</v>
      </c>
      <c r="F64">
        <v>26.88</v>
      </c>
      <c r="G64">
        <v>134.4</v>
      </c>
      <c r="H64">
        <v>5</v>
      </c>
      <c r="K64" t="s">
        <v>87</v>
      </c>
      <c r="L64" t="s">
        <v>23</v>
      </c>
      <c r="M64" s="44" t="str">
        <f t="shared" si="0"/>
        <v>5 hr |</v>
      </c>
    </row>
    <row r="65" spans="1:13" x14ac:dyDescent="0.25">
      <c r="A65" t="s">
        <v>100</v>
      </c>
      <c r="B65" t="s">
        <v>98</v>
      </c>
      <c r="C65" t="s">
        <v>46</v>
      </c>
      <c r="D65" s="1">
        <v>0.375</v>
      </c>
      <c r="E65" s="1">
        <v>0.70833333333333337</v>
      </c>
      <c r="F65">
        <v>27.22</v>
      </c>
      <c r="G65">
        <v>217.76</v>
      </c>
      <c r="H65">
        <v>8</v>
      </c>
      <c r="I65">
        <v>401</v>
      </c>
      <c r="J65" t="s">
        <v>15</v>
      </c>
      <c r="K65" t="s">
        <v>52</v>
      </c>
      <c r="L65" t="s">
        <v>47</v>
      </c>
      <c r="M65" s="44" t="str">
        <f t="shared" si="0"/>
        <v>8 hr |</v>
      </c>
    </row>
    <row r="66" spans="1:13" x14ac:dyDescent="0.25">
      <c r="A66" t="s">
        <v>100</v>
      </c>
      <c r="B66" t="s">
        <v>108</v>
      </c>
      <c r="C66" t="s">
        <v>32</v>
      </c>
      <c r="D66" s="1">
        <v>0.375</v>
      </c>
      <c r="E66" s="1">
        <v>0.66666666666666663</v>
      </c>
      <c r="F66">
        <v>26.88</v>
      </c>
      <c r="G66">
        <v>0</v>
      </c>
      <c r="H66">
        <v>7</v>
      </c>
      <c r="I66">
        <v>318</v>
      </c>
      <c r="J66" t="s">
        <v>15</v>
      </c>
      <c r="K66" t="s">
        <v>56</v>
      </c>
      <c r="L66" t="s">
        <v>23</v>
      </c>
      <c r="M66" s="44" t="str">
        <f t="shared" si="0"/>
        <v>7 hr |</v>
      </c>
    </row>
    <row r="67" spans="1:13" x14ac:dyDescent="0.25">
      <c r="A67" t="s">
        <v>100</v>
      </c>
      <c r="B67" t="s">
        <v>51</v>
      </c>
      <c r="C67" t="s">
        <v>22</v>
      </c>
      <c r="D67" s="1">
        <v>0.41666666666666669</v>
      </c>
      <c r="E67" s="1">
        <v>0.58333333333333337</v>
      </c>
      <c r="F67">
        <v>27.22</v>
      </c>
      <c r="G67">
        <v>108.88</v>
      </c>
      <c r="H67">
        <v>4</v>
      </c>
      <c r="K67" t="s">
        <v>68</v>
      </c>
      <c r="L67" t="s">
        <v>23</v>
      </c>
      <c r="M67" s="44" t="str">
        <f t="shared" ref="M67:M130" si="1">IF($K67="","",TRIM(MID($K67,FIND(":",$K67)+1,LEN($K67))))</f>
        <v>4 hr |</v>
      </c>
    </row>
    <row r="68" spans="1:13" x14ac:dyDescent="0.25">
      <c r="A68" t="s">
        <v>100</v>
      </c>
      <c r="B68" t="s">
        <v>71</v>
      </c>
      <c r="C68" t="s">
        <v>70</v>
      </c>
      <c r="D68" s="1">
        <v>0.41666666666666669</v>
      </c>
      <c r="E68" s="1">
        <v>0.58333333333333337</v>
      </c>
      <c r="F68">
        <v>30.5</v>
      </c>
      <c r="G68">
        <v>122</v>
      </c>
      <c r="H68">
        <v>4</v>
      </c>
      <c r="K68" t="s">
        <v>16</v>
      </c>
      <c r="L68" t="s">
        <v>17</v>
      </c>
      <c r="M68" s="44" t="str">
        <f t="shared" si="1"/>
        <v>4 hr |</v>
      </c>
    </row>
    <row r="69" spans="1:13" x14ac:dyDescent="0.25">
      <c r="A69" t="s">
        <v>100</v>
      </c>
      <c r="B69" t="s">
        <v>71</v>
      </c>
      <c r="C69" t="s">
        <v>70</v>
      </c>
      <c r="D69" s="1">
        <v>0.41666666666666669</v>
      </c>
      <c r="E69" s="1">
        <v>0.58333333333333337</v>
      </c>
      <c r="F69">
        <v>30.5</v>
      </c>
      <c r="G69">
        <v>0</v>
      </c>
      <c r="H69">
        <v>4</v>
      </c>
      <c r="K69" t="s">
        <v>16</v>
      </c>
      <c r="L69" t="s">
        <v>57</v>
      </c>
      <c r="M69" s="44" t="str">
        <f t="shared" si="1"/>
        <v>4 hr |</v>
      </c>
    </row>
    <row r="70" spans="1:13" x14ac:dyDescent="0.25">
      <c r="A70" t="s">
        <v>100</v>
      </c>
      <c r="B70" t="s">
        <v>69</v>
      </c>
      <c r="C70" t="s">
        <v>70</v>
      </c>
      <c r="D70" s="1">
        <v>0.41666666666666669</v>
      </c>
      <c r="E70" s="1">
        <v>0.58333333333333337</v>
      </c>
      <c r="F70">
        <v>30.5</v>
      </c>
      <c r="G70">
        <v>0</v>
      </c>
      <c r="H70">
        <v>4</v>
      </c>
      <c r="K70" t="s">
        <v>16</v>
      </c>
      <c r="L70" t="s">
        <v>57</v>
      </c>
      <c r="M70" s="44" t="str">
        <f t="shared" si="1"/>
        <v>4 hr |</v>
      </c>
    </row>
    <row r="71" spans="1:13" x14ac:dyDescent="0.25">
      <c r="A71" t="s">
        <v>100</v>
      </c>
      <c r="B71" t="s">
        <v>61</v>
      </c>
      <c r="C71" t="s">
        <v>32</v>
      </c>
      <c r="D71" s="1">
        <v>0.4375</v>
      </c>
      <c r="E71" s="1">
        <v>0.625</v>
      </c>
      <c r="F71">
        <v>27.22</v>
      </c>
      <c r="G71">
        <v>122.49</v>
      </c>
      <c r="H71">
        <v>4.5</v>
      </c>
      <c r="I71">
        <v>318</v>
      </c>
      <c r="J71" t="s">
        <v>15</v>
      </c>
      <c r="K71" t="s">
        <v>109</v>
      </c>
      <c r="L71" t="s">
        <v>47</v>
      </c>
      <c r="M71" s="44" t="str">
        <f t="shared" si="1"/>
        <v>4.5 hr |</v>
      </c>
    </row>
    <row r="72" spans="1:13" x14ac:dyDescent="0.25">
      <c r="A72" t="s">
        <v>100</v>
      </c>
      <c r="B72" t="s">
        <v>72</v>
      </c>
      <c r="C72" t="s">
        <v>73</v>
      </c>
      <c r="D72" s="1">
        <v>0.5</v>
      </c>
      <c r="E72" s="1">
        <v>0.66666666666666663</v>
      </c>
      <c r="F72">
        <v>22</v>
      </c>
      <c r="G72">
        <v>88</v>
      </c>
      <c r="H72">
        <v>4</v>
      </c>
      <c r="K72" t="s">
        <v>68</v>
      </c>
      <c r="L72" t="s">
        <v>57</v>
      </c>
      <c r="M72" s="44" t="str">
        <f t="shared" si="1"/>
        <v>4 hr |</v>
      </c>
    </row>
    <row r="73" spans="1:13" x14ac:dyDescent="0.25">
      <c r="A73" t="s">
        <v>100</v>
      </c>
      <c r="B73" t="s">
        <v>74</v>
      </c>
      <c r="C73" t="s">
        <v>75</v>
      </c>
      <c r="D73" s="1">
        <v>0.54166666666666663</v>
      </c>
      <c r="E73" s="1">
        <v>0.79166666666666663</v>
      </c>
      <c r="F73">
        <v>26.88</v>
      </c>
      <c r="G73">
        <v>161.28</v>
      </c>
      <c r="H73">
        <v>6</v>
      </c>
      <c r="K73" t="s">
        <v>42</v>
      </c>
      <c r="L73" t="s">
        <v>37</v>
      </c>
      <c r="M73" s="44" t="str">
        <f t="shared" si="1"/>
        <v>6 hr |</v>
      </c>
    </row>
    <row r="74" spans="1:13" x14ac:dyDescent="0.25">
      <c r="A74" t="s">
        <v>100</v>
      </c>
      <c r="B74" t="s">
        <v>101</v>
      </c>
      <c r="C74" t="s">
        <v>78</v>
      </c>
      <c r="D74" s="1">
        <v>0.625</v>
      </c>
      <c r="E74" s="1">
        <v>0.95833333333333337</v>
      </c>
      <c r="F74">
        <v>35</v>
      </c>
      <c r="G74">
        <v>280</v>
      </c>
      <c r="H74">
        <v>8</v>
      </c>
      <c r="K74" t="s">
        <v>20</v>
      </c>
      <c r="L74" t="s">
        <v>57</v>
      </c>
      <c r="M74" s="44" t="str">
        <f t="shared" si="1"/>
        <v>8 hr |</v>
      </c>
    </row>
    <row r="75" spans="1:13" x14ac:dyDescent="0.25">
      <c r="A75" t="s">
        <v>100</v>
      </c>
      <c r="B75" t="s">
        <v>110</v>
      </c>
      <c r="C75" t="s">
        <v>46</v>
      </c>
      <c r="D75" s="1">
        <v>0.625</v>
      </c>
      <c r="E75" s="1">
        <v>0.95833333333333337</v>
      </c>
      <c r="F75">
        <v>26.88</v>
      </c>
      <c r="G75">
        <v>215.04</v>
      </c>
      <c r="H75">
        <v>8</v>
      </c>
      <c r="I75">
        <v>518</v>
      </c>
      <c r="J75" t="s">
        <v>15</v>
      </c>
      <c r="K75" t="s">
        <v>20</v>
      </c>
      <c r="L75" t="s">
        <v>47</v>
      </c>
      <c r="M75" s="44" t="str">
        <f t="shared" si="1"/>
        <v>8 hr |</v>
      </c>
    </row>
    <row r="76" spans="1:13" x14ac:dyDescent="0.25">
      <c r="A76" t="s">
        <v>100</v>
      </c>
      <c r="B76" t="s">
        <v>111</v>
      </c>
      <c r="C76" t="s">
        <v>32</v>
      </c>
      <c r="D76" s="1">
        <v>0.625</v>
      </c>
      <c r="E76" s="1">
        <v>0.79166666666666663</v>
      </c>
      <c r="F76">
        <v>27.22</v>
      </c>
      <c r="G76">
        <v>108.88</v>
      </c>
      <c r="H76">
        <v>4</v>
      </c>
      <c r="I76">
        <v>218</v>
      </c>
      <c r="J76" t="s">
        <v>15</v>
      </c>
      <c r="K76" t="s">
        <v>68</v>
      </c>
      <c r="L76" t="s">
        <v>17</v>
      </c>
      <c r="M76" s="44" t="str">
        <f t="shared" si="1"/>
        <v>4 hr |</v>
      </c>
    </row>
    <row r="77" spans="1:13" x14ac:dyDescent="0.25">
      <c r="A77" t="s">
        <v>100</v>
      </c>
      <c r="B77" t="s">
        <v>112</v>
      </c>
      <c r="C77" t="s">
        <v>32</v>
      </c>
      <c r="D77" s="1">
        <v>0.625</v>
      </c>
      <c r="E77" s="1">
        <v>0.79166666666666663</v>
      </c>
      <c r="F77">
        <v>27.22</v>
      </c>
      <c r="G77">
        <v>108.88</v>
      </c>
      <c r="H77">
        <v>4</v>
      </c>
      <c r="I77">
        <v>318</v>
      </c>
      <c r="J77" t="s">
        <v>15</v>
      </c>
      <c r="K77" t="s">
        <v>68</v>
      </c>
      <c r="L77" t="s">
        <v>17</v>
      </c>
      <c r="M77" s="44" t="str">
        <f t="shared" si="1"/>
        <v>4 hr |</v>
      </c>
    </row>
    <row r="78" spans="1:13" x14ac:dyDescent="0.25">
      <c r="A78" t="s">
        <v>100</v>
      </c>
      <c r="B78" t="s">
        <v>113</v>
      </c>
      <c r="C78" t="s">
        <v>32</v>
      </c>
      <c r="D78" s="1">
        <v>0.625</v>
      </c>
      <c r="E78" s="1">
        <v>0.79166666666666663</v>
      </c>
      <c r="F78">
        <v>27.22</v>
      </c>
      <c r="G78">
        <v>108.88</v>
      </c>
      <c r="H78">
        <v>4</v>
      </c>
      <c r="I78">
        <v>402</v>
      </c>
      <c r="J78" t="s">
        <v>15</v>
      </c>
      <c r="K78" t="s">
        <v>68</v>
      </c>
      <c r="L78" t="s">
        <v>17</v>
      </c>
      <c r="M78" s="44" t="str">
        <f t="shared" si="1"/>
        <v>4 hr |</v>
      </c>
    </row>
    <row r="79" spans="1:13" x14ac:dyDescent="0.25">
      <c r="A79" t="s">
        <v>100</v>
      </c>
      <c r="B79" t="s">
        <v>114</v>
      </c>
      <c r="C79" t="s">
        <v>32</v>
      </c>
      <c r="D79" s="1">
        <v>0.625</v>
      </c>
      <c r="E79" s="1">
        <v>0.79166666666666663</v>
      </c>
      <c r="F79">
        <v>26.88</v>
      </c>
      <c r="G79">
        <v>107.52</v>
      </c>
      <c r="H79">
        <v>4</v>
      </c>
      <c r="I79">
        <v>201</v>
      </c>
      <c r="J79" t="s">
        <v>15</v>
      </c>
      <c r="K79" t="s">
        <v>16</v>
      </c>
      <c r="L79" t="s">
        <v>17</v>
      </c>
      <c r="M79" s="44" t="str">
        <f t="shared" si="1"/>
        <v>4 hr |</v>
      </c>
    </row>
    <row r="80" spans="1:13" x14ac:dyDescent="0.25">
      <c r="A80" t="s">
        <v>100</v>
      </c>
      <c r="B80" t="s">
        <v>115</v>
      </c>
      <c r="C80" t="s">
        <v>32</v>
      </c>
      <c r="D80" s="1">
        <v>0.625</v>
      </c>
      <c r="E80" s="1">
        <v>0.79166666666666663</v>
      </c>
      <c r="F80">
        <v>27.22</v>
      </c>
      <c r="G80">
        <v>108.88</v>
      </c>
      <c r="H80">
        <v>4</v>
      </c>
      <c r="I80">
        <v>301</v>
      </c>
      <c r="J80" t="s">
        <v>15</v>
      </c>
      <c r="K80" t="s">
        <v>68</v>
      </c>
      <c r="L80" t="s">
        <v>17</v>
      </c>
      <c r="M80" s="44" t="str">
        <f t="shared" si="1"/>
        <v>4 hr |</v>
      </c>
    </row>
    <row r="81" spans="1:13" x14ac:dyDescent="0.25">
      <c r="A81" t="s">
        <v>100</v>
      </c>
      <c r="B81" t="s">
        <v>31</v>
      </c>
      <c r="C81" t="s">
        <v>32</v>
      </c>
      <c r="D81" s="1">
        <v>0.625</v>
      </c>
      <c r="E81" s="1">
        <v>0.79166666666666663</v>
      </c>
      <c r="F81">
        <v>27.22</v>
      </c>
      <c r="G81">
        <v>108.88</v>
      </c>
      <c r="H81">
        <v>4</v>
      </c>
      <c r="I81">
        <v>211</v>
      </c>
      <c r="J81" t="s">
        <v>15</v>
      </c>
      <c r="K81" t="s">
        <v>68</v>
      </c>
      <c r="L81" t="s">
        <v>17</v>
      </c>
      <c r="M81" s="44" t="str">
        <f t="shared" si="1"/>
        <v>4 hr |</v>
      </c>
    </row>
    <row r="82" spans="1:13" x14ac:dyDescent="0.25">
      <c r="A82" t="s">
        <v>100</v>
      </c>
      <c r="B82" t="s">
        <v>27</v>
      </c>
      <c r="C82" t="s">
        <v>46</v>
      </c>
      <c r="D82" s="1">
        <v>0.625</v>
      </c>
      <c r="E82" s="1">
        <v>0.79166666666666663</v>
      </c>
      <c r="F82">
        <v>27.22</v>
      </c>
      <c r="G82">
        <v>108.88</v>
      </c>
      <c r="H82">
        <v>4</v>
      </c>
      <c r="I82">
        <v>318</v>
      </c>
      <c r="J82" t="s">
        <v>15</v>
      </c>
      <c r="K82" t="s">
        <v>68</v>
      </c>
      <c r="L82" t="s">
        <v>47</v>
      </c>
      <c r="M82" s="44" t="str">
        <f t="shared" si="1"/>
        <v>4 hr |</v>
      </c>
    </row>
    <row r="83" spans="1:13" x14ac:dyDescent="0.25">
      <c r="A83" t="s">
        <v>100</v>
      </c>
      <c r="B83" t="s">
        <v>34</v>
      </c>
      <c r="C83" t="s">
        <v>35</v>
      </c>
      <c r="D83" s="1">
        <v>0.66666666666666663</v>
      </c>
      <c r="E83" s="1">
        <v>0.95833333333333337</v>
      </c>
      <c r="F83">
        <v>27.22</v>
      </c>
      <c r="G83">
        <v>190.54</v>
      </c>
      <c r="H83">
        <v>7</v>
      </c>
      <c r="J83" t="s">
        <v>15</v>
      </c>
      <c r="K83" t="s">
        <v>33</v>
      </c>
      <c r="L83" t="s">
        <v>37</v>
      </c>
      <c r="M83" s="44" t="str">
        <f t="shared" si="1"/>
        <v>7 hr |</v>
      </c>
    </row>
    <row r="84" spans="1:13" x14ac:dyDescent="0.25">
      <c r="A84" t="s">
        <v>100</v>
      </c>
      <c r="B84" t="s">
        <v>105</v>
      </c>
      <c r="C84" t="s">
        <v>35</v>
      </c>
      <c r="D84" s="1">
        <v>0.66666666666666663</v>
      </c>
      <c r="E84" s="1">
        <v>0.95833333333333337</v>
      </c>
      <c r="F84">
        <v>26.88</v>
      </c>
      <c r="G84">
        <v>0</v>
      </c>
      <c r="H84">
        <v>7</v>
      </c>
      <c r="J84" t="s">
        <v>15</v>
      </c>
      <c r="K84" t="s">
        <v>106</v>
      </c>
      <c r="L84" t="s">
        <v>37</v>
      </c>
      <c r="M84" s="44" t="str">
        <f t="shared" si="1"/>
        <v>0 hr |</v>
      </c>
    </row>
    <row r="85" spans="1:13" x14ac:dyDescent="0.25">
      <c r="A85" t="s">
        <v>100</v>
      </c>
      <c r="B85" t="s">
        <v>116</v>
      </c>
      <c r="C85" t="s">
        <v>49</v>
      </c>
      <c r="D85" s="1">
        <v>0.70833333333333337</v>
      </c>
      <c r="E85" s="1">
        <v>0.95833333333333337</v>
      </c>
      <c r="F85">
        <v>26.88</v>
      </c>
      <c r="G85">
        <v>161.28</v>
      </c>
      <c r="H85">
        <v>6</v>
      </c>
      <c r="I85" t="s">
        <v>50</v>
      </c>
      <c r="K85" t="s">
        <v>42</v>
      </c>
      <c r="L85" t="s">
        <v>47</v>
      </c>
      <c r="M85" s="44" t="str">
        <f t="shared" si="1"/>
        <v>6 hr |</v>
      </c>
    </row>
    <row r="86" spans="1:13" x14ac:dyDescent="0.25">
      <c r="A86" t="s">
        <v>100</v>
      </c>
      <c r="B86" t="s">
        <v>117</v>
      </c>
      <c r="C86" t="s">
        <v>49</v>
      </c>
      <c r="D86" s="1">
        <v>0.70833333333333337</v>
      </c>
      <c r="E86" s="1">
        <v>0.95833333333333337</v>
      </c>
      <c r="F86">
        <v>27.22</v>
      </c>
      <c r="G86">
        <v>163.32</v>
      </c>
      <c r="H86">
        <v>6</v>
      </c>
      <c r="I86" t="s">
        <v>50</v>
      </c>
      <c r="K86" t="s">
        <v>29</v>
      </c>
      <c r="L86" t="s">
        <v>47</v>
      </c>
      <c r="M86" s="44" t="str">
        <f t="shared" si="1"/>
        <v>6 hr |</v>
      </c>
    </row>
    <row r="87" spans="1:13" x14ac:dyDescent="0.25">
      <c r="A87" t="s">
        <v>100</v>
      </c>
      <c r="B87" t="s">
        <v>98</v>
      </c>
      <c r="C87" t="s">
        <v>46</v>
      </c>
      <c r="D87" s="1">
        <v>0.70833333333333337</v>
      </c>
      <c r="E87" s="1">
        <v>0.83333333333333337</v>
      </c>
      <c r="F87">
        <v>27.22</v>
      </c>
      <c r="G87">
        <v>81.66</v>
      </c>
      <c r="H87">
        <v>3</v>
      </c>
      <c r="I87">
        <v>418</v>
      </c>
      <c r="J87" t="s">
        <v>15</v>
      </c>
      <c r="K87" t="s">
        <v>118</v>
      </c>
      <c r="L87" t="s">
        <v>57</v>
      </c>
      <c r="M87" s="44" t="str">
        <f t="shared" si="1"/>
        <v>3 hr |</v>
      </c>
    </row>
    <row r="88" spans="1:13" x14ac:dyDescent="0.25">
      <c r="A88" t="s">
        <v>100</v>
      </c>
      <c r="B88" t="s">
        <v>119</v>
      </c>
      <c r="C88" t="s">
        <v>46</v>
      </c>
      <c r="D88" s="1">
        <v>0.70833333333333337</v>
      </c>
      <c r="E88" s="1">
        <v>0.95833333333333337</v>
      </c>
      <c r="F88">
        <v>27.22</v>
      </c>
      <c r="G88">
        <v>0</v>
      </c>
      <c r="H88">
        <v>6</v>
      </c>
      <c r="I88">
        <v>411</v>
      </c>
      <c r="J88" t="s">
        <v>15</v>
      </c>
      <c r="K88" t="s">
        <v>29</v>
      </c>
      <c r="L88" t="s">
        <v>47</v>
      </c>
      <c r="M88" s="44" t="str">
        <f t="shared" si="1"/>
        <v>6 hr |</v>
      </c>
    </row>
    <row r="89" spans="1:13" x14ac:dyDescent="0.25">
      <c r="A89" t="s">
        <v>100</v>
      </c>
      <c r="B89" t="s">
        <v>90</v>
      </c>
      <c r="C89" t="s">
        <v>120</v>
      </c>
      <c r="D89" s="1">
        <v>0.92708333333333337</v>
      </c>
      <c r="E89" s="1">
        <v>0.375</v>
      </c>
      <c r="F89">
        <v>31.17</v>
      </c>
      <c r="G89">
        <v>335.08</v>
      </c>
      <c r="H89">
        <v>10.75</v>
      </c>
      <c r="K89" t="s">
        <v>121</v>
      </c>
      <c r="L89" t="s">
        <v>23</v>
      </c>
      <c r="M89" s="44" t="str">
        <f t="shared" si="1"/>
        <v>10.75 hr |</v>
      </c>
    </row>
    <row r="90" spans="1:13" x14ac:dyDescent="0.25">
      <c r="A90" t="s">
        <v>100</v>
      </c>
      <c r="B90" t="s">
        <v>82</v>
      </c>
      <c r="C90" t="s">
        <v>75</v>
      </c>
      <c r="D90" s="1">
        <v>0.95833333333333337</v>
      </c>
      <c r="E90" s="1">
        <v>0.375</v>
      </c>
      <c r="F90">
        <v>27.22</v>
      </c>
      <c r="G90">
        <v>272.2</v>
      </c>
      <c r="H90">
        <v>10</v>
      </c>
      <c r="K90" t="s">
        <v>94</v>
      </c>
      <c r="L90" t="s">
        <v>37</v>
      </c>
      <c r="M90" s="44" t="str">
        <f t="shared" si="1"/>
        <v>10 hr |</v>
      </c>
    </row>
    <row r="91" spans="1:13" x14ac:dyDescent="0.25">
      <c r="A91" t="s">
        <v>100</v>
      </c>
      <c r="B91" t="s">
        <v>122</v>
      </c>
      <c r="C91" t="s">
        <v>46</v>
      </c>
      <c r="D91" s="1">
        <v>0.95833333333333337</v>
      </c>
      <c r="E91" s="1">
        <v>0.375</v>
      </c>
      <c r="F91">
        <v>27.22</v>
      </c>
      <c r="G91">
        <v>272.2</v>
      </c>
      <c r="H91">
        <v>10</v>
      </c>
      <c r="I91">
        <v>318</v>
      </c>
      <c r="J91" t="s">
        <v>15</v>
      </c>
      <c r="K91" t="s">
        <v>94</v>
      </c>
      <c r="L91" t="s">
        <v>17</v>
      </c>
      <c r="M91" s="44" t="str">
        <f t="shared" si="1"/>
        <v>10 hr |</v>
      </c>
    </row>
    <row r="92" spans="1:13" x14ac:dyDescent="0.25">
      <c r="A92" t="s">
        <v>100</v>
      </c>
      <c r="B92" t="s">
        <v>96</v>
      </c>
      <c r="C92" t="s">
        <v>35</v>
      </c>
      <c r="D92" s="1">
        <v>0.95833333333333337</v>
      </c>
      <c r="E92" s="1">
        <v>0.375</v>
      </c>
      <c r="F92">
        <v>26.88</v>
      </c>
      <c r="G92">
        <v>268.8</v>
      </c>
      <c r="H92">
        <v>10</v>
      </c>
      <c r="J92" t="s">
        <v>15</v>
      </c>
      <c r="K92" t="s">
        <v>97</v>
      </c>
      <c r="L92" t="s">
        <v>37</v>
      </c>
      <c r="M92" s="44" t="str">
        <f t="shared" si="1"/>
        <v>10 hr |</v>
      </c>
    </row>
    <row r="93" spans="1:13" x14ac:dyDescent="0.25">
      <c r="A93" t="s">
        <v>100</v>
      </c>
      <c r="B93" t="s">
        <v>113</v>
      </c>
      <c r="C93" t="s">
        <v>32</v>
      </c>
      <c r="D93" s="1">
        <v>0.95833333333333337</v>
      </c>
      <c r="E93" s="1">
        <v>0.375</v>
      </c>
      <c r="F93">
        <v>27.22</v>
      </c>
      <c r="G93">
        <v>272.2</v>
      </c>
      <c r="H93">
        <v>10</v>
      </c>
      <c r="I93" t="s">
        <v>123</v>
      </c>
      <c r="J93" t="s">
        <v>15</v>
      </c>
      <c r="K93" t="s">
        <v>94</v>
      </c>
      <c r="L93" t="s">
        <v>17</v>
      </c>
      <c r="M93" s="44" t="str">
        <f t="shared" si="1"/>
        <v>10 hr |</v>
      </c>
    </row>
    <row r="94" spans="1:13" x14ac:dyDescent="0.25">
      <c r="A94" t="s">
        <v>100</v>
      </c>
      <c r="B94" t="s">
        <v>124</v>
      </c>
      <c r="C94" t="s">
        <v>46</v>
      </c>
      <c r="D94" s="1">
        <v>0.95833333333333337</v>
      </c>
      <c r="E94" s="1">
        <v>0.375</v>
      </c>
      <c r="F94">
        <v>27.22</v>
      </c>
      <c r="G94">
        <v>272.2</v>
      </c>
      <c r="H94">
        <v>10</v>
      </c>
      <c r="I94">
        <v>605</v>
      </c>
      <c r="J94" t="s">
        <v>15</v>
      </c>
      <c r="K94" t="s">
        <v>94</v>
      </c>
      <c r="L94" t="s">
        <v>47</v>
      </c>
      <c r="M94" s="44" t="str">
        <f t="shared" si="1"/>
        <v>10 hr |</v>
      </c>
    </row>
    <row r="95" spans="1:13" x14ac:dyDescent="0.25">
      <c r="A95" t="s">
        <v>100</v>
      </c>
      <c r="B95" t="s">
        <v>105</v>
      </c>
      <c r="C95" t="s">
        <v>35</v>
      </c>
      <c r="D95" s="1">
        <v>0.95833333333333337</v>
      </c>
      <c r="E95" s="1">
        <v>0.375</v>
      </c>
      <c r="F95">
        <v>26.88</v>
      </c>
      <c r="G95">
        <v>0</v>
      </c>
      <c r="H95">
        <v>10</v>
      </c>
      <c r="J95" t="s">
        <v>15</v>
      </c>
      <c r="K95" t="s">
        <v>106</v>
      </c>
      <c r="L95" t="s">
        <v>37</v>
      </c>
      <c r="M95" s="44" t="str">
        <f t="shared" si="1"/>
        <v>0 hr |</v>
      </c>
    </row>
    <row r="96" spans="1:13" x14ac:dyDescent="0.25">
      <c r="A96" t="s">
        <v>125</v>
      </c>
      <c r="B96" t="s">
        <v>45</v>
      </c>
      <c r="C96" t="s">
        <v>46</v>
      </c>
      <c r="D96" s="1">
        <v>0.25</v>
      </c>
      <c r="E96" s="1">
        <v>0.41666666666666669</v>
      </c>
      <c r="F96">
        <v>27.22</v>
      </c>
      <c r="G96">
        <v>108.88</v>
      </c>
      <c r="H96">
        <v>4</v>
      </c>
      <c r="I96">
        <v>504</v>
      </c>
      <c r="J96" t="s">
        <v>15</v>
      </c>
      <c r="K96" t="s">
        <v>68</v>
      </c>
      <c r="L96" t="s">
        <v>17</v>
      </c>
      <c r="M96" s="44" t="str">
        <f t="shared" si="1"/>
        <v>4 hr |</v>
      </c>
    </row>
    <row r="97" spans="1:13" x14ac:dyDescent="0.25">
      <c r="A97" t="s">
        <v>125</v>
      </c>
      <c r="B97" t="s">
        <v>105</v>
      </c>
      <c r="C97" t="s">
        <v>14</v>
      </c>
      <c r="D97" s="1">
        <v>0.25</v>
      </c>
      <c r="E97" s="1">
        <v>0.41666666666666669</v>
      </c>
      <c r="F97">
        <v>30.5</v>
      </c>
      <c r="G97">
        <v>0</v>
      </c>
      <c r="H97">
        <v>4</v>
      </c>
      <c r="J97" t="s">
        <v>15</v>
      </c>
      <c r="K97" t="s">
        <v>16</v>
      </c>
      <c r="L97" t="s">
        <v>17</v>
      </c>
      <c r="M97" s="44" t="str">
        <f t="shared" si="1"/>
        <v>4 hr |</v>
      </c>
    </row>
    <row r="98" spans="1:13" x14ac:dyDescent="0.25">
      <c r="A98" t="s">
        <v>125</v>
      </c>
      <c r="B98" t="s">
        <v>18</v>
      </c>
      <c r="C98" t="s">
        <v>19</v>
      </c>
      <c r="D98" s="1">
        <v>0.29166666666666669</v>
      </c>
      <c r="E98" s="1">
        <v>0.45833333333333331</v>
      </c>
      <c r="F98">
        <v>29</v>
      </c>
      <c r="G98">
        <v>116</v>
      </c>
      <c r="H98">
        <v>4</v>
      </c>
      <c r="K98" t="s">
        <v>16</v>
      </c>
      <c r="L98" t="s">
        <v>17</v>
      </c>
      <c r="M98" s="44" t="str">
        <f t="shared" si="1"/>
        <v>4 hr |</v>
      </c>
    </row>
    <row r="99" spans="1:13" x14ac:dyDescent="0.25">
      <c r="A99" t="s">
        <v>125</v>
      </c>
      <c r="B99" t="s">
        <v>53</v>
      </c>
      <c r="C99" t="s">
        <v>22</v>
      </c>
      <c r="D99" s="1">
        <v>0.29166666666666669</v>
      </c>
      <c r="E99" s="1">
        <v>0.625</v>
      </c>
      <c r="F99">
        <v>26.88</v>
      </c>
      <c r="G99">
        <v>215.04</v>
      </c>
      <c r="H99">
        <v>8</v>
      </c>
      <c r="K99" t="s">
        <v>20</v>
      </c>
      <c r="L99" t="s">
        <v>23</v>
      </c>
      <c r="M99" s="44" t="str">
        <f t="shared" si="1"/>
        <v>8 hr |</v>
      </c>
    </row>
    <row r="100" spans="1:13" x14ac:dyDescent="0.25">
      <c r="A100" t="s">
        <v>125</v>
      </c>
      <c r="B100" t="s">
        <v>93</v>
      </c>
      <c r="C100" t="s">
        <v>75</v>
      </c>
      <c r="D100" s="1">
        <v>0.29166666666666669</v>
      </c>
      <c r="E100" s="1">
        <v>0.625</v>
      </c>
      <c r="F100">
        <v>27.22</v>
      </c>
      <c r="G100">
        <v>217.76</v>
      </c>
      <c r="H100">
        <v>8</v>
      </c>
      <c r="K100" t="s">
        <v>52</v>
      </c>
      <c r="L100" t="s">
        <v>37</v>
      </c>
      <c r="M100" s="44" t="str">
        <f t="shared" si="1"/>
        <v>8 hr |</v>
      </c>
    </row>
    <row r="101" spans="1:13" x14ac:dyDescent="0.25">
      <c r="A101" t="s">
        <v>125</v>
      </c>
      <c r="B101" t="s">
        <v>79</v>
      </c>
      <c r="C101" t="s">
        <v>75</v>
      </c>
      <c r="D101" s="1">
        <v>0.29166666666666669</v>
      </c>
      <c r="E101" s="1">
        <v>0.625</v>
      </c>
      <c r="F101">
        <v>27.22</v>
      </c>
      <c r="G101">
        <v>217.76</v>
      </c>
      <c r="H101">
        <v>8</v>
      </c>
      <c r="K101" t="s">
        <v>52</v>
      </c>
      <c r="L101" t="s">
        <v>37</v>
      </c>
      <c r="M101" s="44" t="str">
        <f t="shared" si="1"/>
        <v>8 hr |</v>
      </c>
    </row>
    <row r="102" spans="1:13" x14ac:dyDescent="0.25">
      <c r="A102" t="s">
        <v>125</v>
      </c>
      <c r="B102" t="s">
        <v>126</v>
      </c>
      <c r="C102" t="s">
        <v>127</v>
      </c>
      <c r="D102" s="1">
        <v>0.29166666666666669</v>
      </c>
      <c r="E102" s="1">
        <v>0.45833333333333331</v>
      </c>
      <c r="F102">
        <v>31.42</v>
      </c>
      <c r="G102">
        <v>125.68</v>
      </c>
      <c r="H102">
        <v>4</v>
      </c>
      <c r="K102" t="s">
        <v>16</v>
      </c>
      <c r="L102" t="s">
        <v>17</v>
      </c>
      <c r="M102" s="44" t="str">
        <f t="shared" si="1"/>
        <v>4 hr |</v>
      </c>
    </row>
    <row r="103" spans="1:13" x14ac:dyDescent="0.25">
      <c r="A103" t="s">
        <v>125</v>
      </c>
      <c r="B103" t="s">
        <v>25</v>
      </c>
      <c r="C103" t="s">
        <v>26</v>
      </c>
      <c r="D103" s="1">
        <v>0.33333333333333331</v>
      </c>
      <c r="E103" s="1">
        <v>0.66666666666666663</v>
      </c>
      <c r="F103">
        <v>26.88</v>
      </c>
      <c r="G103">
        <v>215.04</v>
      </c>
      <c r="H103">
        <v>8</v>
      </c>
      <c r="J103" t="s">
        <v>15</v>
      </c>
      <c r="K103" t="s">
        <v>20</v>
      </c>
      <c r="L103" t="s">
        <v>23</v>
      </c>
      <c r="M103" s="44" t="str">
        <f t="shared" si="1"/>
        <v>8 hr |</v>
      </c>
    </row>
    <row r="104" spans="1:13" x14ac:dyDescent="0.25">
      <c r="A104" t="s">
        <v>125</v>
      </c>
      <c r="B104" t="s">
        <v>38</v>
      </c>
      <c r="C104" t="s">
        <v>35</v>
      </c>
      <c r="D104" s="1">
        <v>0.35416666666666669</v>
      </c>
      <c r="E104" s="1">
        <v>0.625</v>
      </c>
      <c r="F104">
        <v>26.88</v>
      </c>
      <c r="G104">
        <v>174.72</v>
      </c>
      <c r="H104">
        <v>6.5</v>
      </c>
      <c r="J104" t="s">
        <v>15</v>
      </c>
      <c r="K104" t="s">
        <v>104</v>
      </c>
      <c r="L104" t="s">
        <v>37</v>
      </c>
      <c r="M104" s="44" t="str">
        <f t="shared" si="1"/>
        <v>6.5 hr |</v>
      </c>
    </row>
    <row r="105" spans="1:13" x14ac:dyDescent="0.25">
      <c r="A105" t="s">
        <v>125</v>
      </c>
      <c r="B105" t="s">
        <v>34</v>
      </c>
      <c r="C105" t="s">
        <v>35</v>
      </c>
      <c r="D105" s="1">
        <v>0.35416666666666669</v>
      </c>
      <c r="E105" s="1">
        <v>0.625</v>
      </c>
      <c r="F105">
        <v>27.22</v>
      </c>
      <c r="G105">
        <v>176.93</v>
      </c>
      <c r="H105">
        <v>6.5</v>
      </c>
      <c r="J105" t="s">
        <v>15</v>
      </c>
      <c r="K105" t="s">
        <v>128</v>
      </c>
      <c r="L105" t="s">
        <v>37</v>
      </c>
      <c r="M105" s="44" t="str">
        <f t="shared" si="1"/>
        <v>6.5 hr |</v>
      </c>
    </row>
    <row r="106" spans="1:13" x14ac:dyDescent="0.25">
      <c r="A106" t="s">
        <v>125</v>
      </c>
      <c r="B106" t="s">
        <v>105</v>
      </c>
      <c r="C106" t="s">
        <v>35</v>
      </c>
      <c r="D106" s="1">
        <v>0.35416666666666669</v>
      </c>
      <c r="E106" s="1">
        <v>0.625</v>
      </c>
      <c r="F106">
        <v>26.88</v>
      </c>
      <c r="G106">
        <v>0</v>
      </c>
      <c r="H106">
        <v>6.5</v>
      </c>
      <c r="J106" t="s">
        <v>15</v>
      </c>
      <c r="K106" t="s">
        <v>106</v>
      </c>
      <c r="L106" t="s">
        <v>37</v>
      </c>
      <c r="M106" s="44" t="str">
        <f t="shared" si="1"/>
        <v>0 hr |</v>
      </c>
    </row>
    <row r="107" spans="1:13" x14ac:dyDescent="0.25">
      <c r="A107" t="s">
        <v>125</v>
      </c>
      <c r="B107" t="s">
        <v>105</v>
      </c>
      <c r="C107" t="s">
        <v>35</v>
      </c>
      <c r="D107" s="1">
        <v>0.35416666666666669</v>
      </c>
      <c r="E107" s="1">
        <v>0.625</v>
      </c>
      <c r="F107">
        <v>26.88</v>
      </c>
      <c r="G107">
        <v>0</v>
      </c>
      <c r="H107">
        <v>6.5</v>
      </c>
      <c r="J107" t="s">
        <v>15</v>
      </c>
      <c r="K107" t="s">
        <v>106</v>
      </c>
      <c r="L107" t="s">
        <v>37</v>
      </c>
      <c r="M107" s="44" t="str">
        <f t="shared" si="1"/>
        <v>0 hr |</v>
      </c>
    </row>
    <row r="108" spans="1:13" x14ac:dyDescent="0.25">
      <c r="A108" t="s">
        <v>125</v>
      </c>
      <c r="B108" t="s">
        <v>40</v>
      </c>
      <c r="C108" t="s">
        <v>41</v>
      </c>
      <c r="D108" s="1">
        <v>0.375</v>
      </c>
      <c r="E108" s="1">
        <v>0.625</v>
      </c>
      <c r="F108">
        <v>26.88</v>
      </c>
      <c r="G108">
        <v>161.28</v>
      </c>
      <c r="H108">
        <v>6</v>
      </c>
      <c r="K108" t="s">
        <v>42</v>
      </c>
      <c r="L108" t="s">
        <v>17</v>
      </c>
      <c r="M108" s="44" t="str">
        <f t="shared" si="1"/>
        <v>6 hr |</v>
      </c>
    </row>
    <row r="109" spans="1:13" x14ac:dyDescent="0.25">
      <c r="A109" t="s">
        <v>125</v>
      </c>
      <c r="B109" t="s">
        <v>116</v>
      </c>
      <c r="C109" t="s">
        <v>49</v>
      </c>
      <c r="D109" s="1">
        <v>0.375</v>
      </c>
      <c r="E109" s="1">
        <v>0.70833333333333337</v>
      </c>
      <c r="F109">
        <v>26.88</v>
      </c>
      <c r="G109">
        <v>215.04</v>
      </c>
      <c r="H109">
        <v>8</v>
      </c>
      <c r="I109" t="s">
        <v>50</v>
      </c>
      <c r="K109" t="s">
        <v>20</v>
      </c>
      <c r="L109" t="s">
        <v>47</v>
      </c>
      <c r="M109" s="44" t="str">
        <f t="shared" si="1"/>
        <v>8 hr |</v>
      </c>
    </row>
    <row r="110" spans="1:13" x14ac:dyDescent="0.25">
      <c r="A110" t="s">
        <v>125</v>
      </c>
      <c r="B110" t="s">
        <v>21</v>
      </c>
      <c r="C110" t="s">
        <v>22</v>
      </c>
      <c r="D110" s="1">
        <v>0.375</v>
      </c>
      <c r="E110" s="1">
        <v>0.70833333333333337</v>
      </c>
      <c r="F110">
        <v>26.88</v>
      </c>
      <c r="G110">
        <v>215.04</v>
      </c>
      <c r="H110">
        <v>8</v>
      </c>
      <c r="K110" t="s">
        <v>20</v>
      </c>
      <c r="L110" t="s">
        <v>23</v>
      </c>
      <c r="M110" s="44" t="str">
        <f t="shared" si="1"/>
        <v>8 hr |</v>
      </c>
    </row>
    <row r="111" spans="1:13" x14ac:dyDescent="0.25">
      <c r="A111" t="s">
        <v>125</v>
      </c>
      <c r="B111" t="s">
        <v>51</v>
      </c>
      <c r="C111" t="s">
        <v>22</v>
      </c>
      <c r="D111" s="1">
        <v>0.375</v>
      </c>
      <c r="E111" s="1">
        <v>0.70833333333333337</v>
      </c>
      <c r="F111">
        <v>27.22</v>
      </c>
      <c r="G111">
        <v>217.76</v>
      </c>
      <c r="H111">
        <v>8</v>
      </c>
      <c r="K111" t="s">
        <v>52</v>
      </c>
      <c r="L111" t="s">
        <v>23</v>
      </c>
      <c r="M111" s="44" t="str">
        <f t="shared" si="1"/>
        <v>8 hr |</v>
      </c>
    </row>
    <row r="112" spans="1:13" x14ac:dyDescent="0.25">
      <c r="A112" t="s">
        <v>125</v>
      </c>
      <c r="B112" t="s">
        <v>54</v>
      </c>
      <c r="C112" t="s">
        <v>55</v>
      </c>
      <c r="D112" s="1">
        <v>0.375</v>
      </c>
      <c r="E112" s="1">
        <v>0.66666666666666663</v>
      </c>
      <c r="F112">
        <v>26.88</v>
      </c>
      <c r="G112">
        <v>188.16</v>
      </c>
      <c r="H112">
        <v>7</v>
      </c>
      <c r="K112" t="s">
        <v>56</v>
      </c>
      <c r="L112" t="s">
        <v>57</v>
      </c>
      <c r="M112" s="44" t="str">
        <f t="shared" si="1"/>
        <v>7 hr |</v>
      </c>
    </row>
    <row r="113" spans="1:13" x14ac:dyDescent="0.25">
      <c r="A113" t="s">
        <v>125</v>
      </c>
      <c r="B113" t="s">
        <v>27</v>
      </c>
      <c r="C113" t="s">
        <v>46</v>
      </c>
      <c r="D113" s="1">
        <v>0.375</v>
      </c>
      <c r="E113" s="1">
        <v>0.625</v>
      </c>
      <c r="F113">
        <v>27.22</v>
      </c>
      <c r="G113">
        <v>163.32</v>
      </c>
      <c r="H113">
        <v>6</v>
      </c>
      <c r="I113">
        <v>518</v>
      </c>
      <c r="J113" t="s">
        <v>15</v>
      </c>
      <c r="K113" t="s">
        <v>29</v>
      </c>
      <c r="L113" t="s">
        <v>17</v>
      </c>
      <c r="M113" s="44" t="str">
        <f t="shared" si="1"/>
        <v>6 hr |</v>
      </c>
    </row>
    <row r="114" spans="1:13" x14ac:dyDescent="0.25">
      <c r="A114" t="s">
        <v>125</v>
      </c>
      <c r="B114" t="s">
        <v>115</v>
      </c>
      <c r="C114" t="s">
        <v>32</v>
      </c>
      <c r="D114" s="1">
        <v>0.375</v>
      </c>
      <c r="E114" s="1">
        <v>0.70833333333333337</v>
      </c>
      <c r="F114">
        <v>27.22</v>
      </c>
      <c r="G114">
        <v>217.76</v>
      </c>
      <c r="H114">
        <v>8</v>
      </c>
      <c r="I114">
        <v>211</v>
      </c>
      <c r="J114" t="s">
        <v>15</v>
      </c>
      <c r="K114" t="s">
        <v>52</v>
      </c>
      <c r="L114" t="s">
        <v>47</v>
      </c>
      <c r="M114" s="44" t="str">
        <f t="shared" si="1"/>
        <v>8 hr |</v>
      </c>
    </row>
    <row r="115" spans="1:13" x14ac:dyDescent="0.25">
      <c r="A115" t="s">
        <v>125</v>
      </c>
      <c r="B115" t="s">
        <v>113</v>
      </c>
      <c r="C115" t="s">
        <v>46</v>
      </c>
      <c r="D115" s="1">
        <v>0.375</v>
      </c>
      <c r="E115" s="1">
        <v>0.625</v>
      </c>
      <c r="F115">
        <v>27.22</v>
      </c>
      <c r="G115">
        <v>163.32</v>
      </c>
      <c r="H115">
        <v>6</v>
      </c>
      <c r="I115">
        <v>418</v>
      </c>
      <c r="J115" t="s">
        <v>15</v>
      </c>
      <c r="K115" t="s">
        <v>29</v>
      </c>
      <c r="L115" t="s">
        <v>57</v>
      </c>
      <c r="M115" s="44" t="str">
        <f t="shared" si="1"/>
        <v>6 hr |</v>
      </c>
    </row>
    <row r="116" spans="1:13" x14ac:dyDescent="0.25">
      <c r="A116" t="s">
        <v>125</v>
      </c>
      <c r="B116" t="s">
        <v>61</v>
      </c>
      <c r="C116" t="s">
        <v>46</v>
      </c>
      <c r="D116" s="1">
        <v>0.39583333333333331</v>
      </c>
      <c r="E116" s="1">
        <v>0.5625</v>
      </c>
      <c r="F116">
        <v>27.22</v>
      </c>
      <c r="G116">
        <v>108.88</v>
      </c>
      <c r="H116">
        <v>4</v>
      </c>
      <c r="I116">
        <v>605</v>
      </c>
      <c r="J116" t="s">
        <v>15</v>
      </c>
      <c r="K116" t="s">
        <v>68</v>
      </c>
      <c r="L116" t="s">
        <v>47</v>
      </c>
      <c r="M116" s="44" t="str">
        <f t="shared" si="1"/>
        <v>4 hr |</v>
      </c>
    </row>
    <row r="117" spans="1:13" x14ac:dyDescent="0.25">
      <c r="A117" t="s">
        <v>125</v>
      </c>
      <c r="B117" t="s">
        <v>69</v>
      </c>
      <c r="C117" t="s">
        <v>70</v>
      </c>
      <c r="D117" s="1">
        <v>0.41666666666666669</v>
      </c>
      <c r="E117" s="1">
        <v>0.58333333333333337</v>
      </c>
      <c r="F117">
        <v>30.5</v>
      </c>
      <c r="G117">
        <v>122</v>
      </c>
      <c r="H117">
        <v>4</v>
      </c>
      <c r="K117" t="s">
        <v>16</v>
      </c>
      <c r="L117" t="s">
        <v>57</v>
      </c>
      <c r="M117" s="44" t="str">
        <f t="shared" si="1"/>
        <v>4 hr |</v>
      </c>
    </row>
    <row r="118" spans="1:13" x14ac:dyDescent="0.25">
      <c r="A118" t="s">
        <v>125</v>
      </c>
      <c r="B118" t="s">
        <v>71</v>
      </c>
      <c r="C118" t="s">
        <v>70</v>
      </c>
      <c r="D118" s="1">
        <v>0.41666666666666669</v>
      </c>
      <c r="E118" s="1">
        <v>0.58333333333333337</v>
      </c>
      <c r="F118">
        <v>30.5</v>
      </c>
      <c r="G118">
        <v>122</v>
      </c>
      <c r="H118">
        <v>4</v>
      </c>
      <c r="K118" t="s">
        <v>16</v>
      </c>
      <c r="L118" t="s">
        <v>57</v>
      </c>
      <c r="M118" s="44" t="str">
        <f t="shared" si="1"/>
        <v>4 hr |</v>
      </c>
    </row>
    <row r="119" spans="1:13" x14ac:dyDescent="0.25">
      <c r="A119" t="s">
        <v>125</v>
      </c>
      <c r="B119" t="s">
        <v>45</v>
      </c>
      <c r="C119" t="s">
        <v>73</v>
      </c>
      <c r="D119" s="1">
        <v>0.41666666666666669</v>
      </c>
      <c r="E119" s="1">
        <v>0.58333333333333337</v>
      </c>
      <c r="F119">
        <v>22</v>
      </c>
      <c r="G119">
        <v>88</v>
      </c>
      <c r="H119">
        <v>4</v>
      </c>
      <c r="K119" t="s">
        <v>68</v>
      </c>
      <c r="L119" t="s">
        <v>47</v>
      </c>
      <c r="M119" s="44" t="str">
        <f t="shared" si="1"/>
        <v>4 hr |</v>
      </c>
    </row>
    <row r="120" spans="1:13" x14ac:dyDescent="0.25">
      <c r="A120" t="s">
        <v>125</v>
      </c>
      <c r="B120" t="s">
        <v>76</v>
      </c>
      <c r="C120" t="s">
        <v>28</v>
      </c>
      <c r="D120" s="1">
        <v>0.41666666666666669</v>
      </c>
      <c r="E120" s="1">
        <v>0.625</v>
      </c>
      <c r="F120">
        <v>26.88</v>
      </c>
      <c r="G120">
        <v>134.4</v>
      </c>
      <c r="H120">
        <v>5</v>
      </c>
      <c r="K120" t="s">
        <v>87</v>
      </c>
      <c r="L120" t="s">
        <v>57</v>
      </c>
      <c r="M120" s="44" t="str">
        <f t="shared" si="1"/>
        <v>5 hr |</v>
      </c>
    </row>
    <row r="121" spans="1:13" x14ac:dyDescent="0.25">
      <c r="A121" t="s">
        <v>125</v>
      </c>
      <c r="B121" t="s">
        <v>69</v>
      </c>
      <c r="C121" t="s">
        <v>70</v>
      </c>
      <c r="D121" s="1">
        <v>0.41666666666666669</v>
      </c>
      <c r="E121" s="1">
        <v>0.58333333333333337</v>
      </c>
      <c r="F121">
        <v>30.5</v>
      </c>
      <c r="G121">
        <v>0</v>
      </c>
      <c r="H121">
        <v>4</v>
      </c>
      <c r="K121" t="s">
        <v>16</v>
      </c>
      <c r="L121" t="s">
        <v>57</v>
      </c>
      <c r="M121" s="44" t="str">
        <f t="shared" si="1"/>
        <v>4 hr |</v>
      </c>
    </row>
    <row r="122" spans="1:13" x14ac:dyDescent="0.25">
      <c r="A122" t="s">
        <v>125</v>
      </c>
      <c r="B122" t="s">
        <v>114</v>
      </c>
      <c r="C122" t="s">
        <v>46</v>
      </c>
      <c r="D122" s="1">
        <v>0.47916666666666669</v>
      </c>
      <c r="E122" s="1">
        <v>0.70833333333333337</v>
      </c>
      <c r="F122">
        <v>26.88</v>
      </c>
      <c r="G122">
        <v>147.84</v>
      </c>
      <c r="H122">
        <v>5.5</v>
      </c>
      <c r="I122">
        <v>401</v>
      </c>
      <c r="J122" t="s">
        <v>15</v>
      </c>
      <c r="K122" t="s">
        <v>129</v>
      </c>
      <c r="L122" t="s">
        <v>57</v>
      </c>
      <c r="M122" s="44" t="str">
        <f t="shared" si="1"/>
        <v>5.5 hr |</v>
      </c>
    </row>
    <row r="123" spans="1:13" x14ac:dyDescent="0.25">
      <c r="A123" t="s">
        <v>125</v>
      </c>
      <c r="B123" t="s">
        <v>74</v>
      </c>
      <c r="C123" t="s">
        <v>75</v>
      </c>
      <c r="D123" s="1">
        <v>0.625</v>
      </c>
      <c r="E123" s="1">
        <v>0.79166666666666663</v>
      </c>
      <c r="F123">
        <v>26.88</v>
      </c>
      <c r="G123">
        <v>107.52</v>
      </c>
      <c r="H123">
        <v>4</v>
      </c>
      <c r="K123" t="s">
        <v>16</v>
      </c>
      <c r="L123" t="s">
        <v>37</v>
      </c>
      <c r="M123" s="44" t="str">
        <f t="shared" si="1"/>
        <v>4 hr |</v>
      </c>
    </row>
    <row r="124" spans="1:13" x14ac:dyDescent="0.25">
      <c r="A124" t="s">
        <v>125</v>
      </c>
      <c r="B124" t="s">
        <v>130</v>
      </c>
      <c r="C124" t="s">
        <v>22</v>
      </c>
      <c r="D124" s="1">
        <v>0.625</v>
      </c>
      <c r="E124" s="1">
        <v>0.95833333333333337</v>
      </c>
      <c r="F124">
        <v>26.88</v>
      </c>
      <c r="G124">
        <v>215.04</v>
      </c>
      <c r="H124">
        <v>8</v>
      </c>
      <c r="K124" t="s">
        <v>20</v>
      </c>
      <c r="L124" t="s">
        <v>23</v>
      </c>
      <c r="M124" s="44" t="str">
        <f t="shared" si="1"/>
        <v>8 hr |</v>
      </c>
    </row>
    <row r="125" spans="1:13" x14ac:dyDescent="0.25">
      <c r="A125" t="s">
        <v>125</v>
      </c>
      <c r="B125" t="s">
        <v>76</v>
      </c>
      <c r="C125" t="s">
        <v>28</v>
      </c>
      <c r="D125" s="1">
        <v>0.625</v>
      </c>
      <c r="E125" s="1">
        <v>0.95833333333333337</v>
      </c>
      <c r="F125">
        <v>26.88</v>
      </c>
      <c r="G125">
        <v>215.04</v>
      </c>
      <c r="H125">
        <v>8</v>
      </c>
      <c r="K125" t="s">
        <v>20</v>
      </c>
      <c r="L125" t="s">
        <v>30</v>
      </c>
      <c r="M125" s="44" t="str">
        <f t="shared" si="1"/>
        <v>8 hr |</v>
      </c>
    </row>
    <row r="126" spans="1:13" x14ac:dyDescent="0.25">
      <c r="A126" t="s">
        <v>125</v>
      </c>
      <c r="B126" t="s">
        <v>101</v>
      </c>
      <c r="C126" t="s">
        <v>78</v>
      </c>
      <c r="D126" s="1">
        <v>0.625</v>
      </c>
      <c r="E126" s="1">
        <v>0.95833333333333337</v>
      </c>
      <c r="F126">
        <v>35</v>
      </c>
      <c r="G126">
        <v>280</v>
      </c>
      <c r="H126">
        <v>8</v>
      </c>
      <c r="K126" t="s">
        <v>20</v>
      </c>
      <c r="L126" t="s">
        <v>57</v>
      </c>
      <c r="M126" s="44" t="str">
        <f t="shared" si="1"/>
        <v>8 hr |</v>
      </c>
    </row>
    <row r="127" spans="1:13" x14ac:dyDescent="0.25">
      <c r="A127" t="s">
        <v>125</v>
      </c>
      <c r="B127" t="s">
        <v>110</v>
      </c>
      <c r="C127" t="s">
        <v>46</v>
      </c>
      <c r="D127" s="1">
        <v>0.625</v>
      </c>
      <c r="E127" s="1">
        <v>0.95833333333333337</v>
      </c>
      <c r="F127">
        <v>26.88</v>
      </c>
      <c r="G127">
        <v>215.04</v>
      </c>
      <c r="H127">
        <v>8</v>
      </c>
      <c r="I127">
        <v>518</v>
      </c>
      <c r="J127" t="s">
        <v>15</v>
      </c>
      <c r="K127" t="s">
        <v>20</v>
      </c>
      <c r="L127" t="s">
        <v>47</v>
      </c>
      <c r="M127" s="44" t="str">
        <f t="shared" si="1"/>
        <v>8 hr |</v>
      </c>
    </row>
    <row r="128" spans="1:13" x14ac:dyDescent="0.25">
      <c r="A128" t="s">
        <v>125</v>
      </c>
      <c r="B128" t="s">
        <v>60</v>
      </c>
      <c r="C128" t="s">
        <v>32</v>
      </c>
      <c r="D128" s="1">
        <v>0.625</v>
      </c>
      <c r="E128" s="1">
        <v>0.95833333333333337</v>
      </c>
      <c r="F128">
        <v>27.22</v>
      </c>
      <c r="G128">
        <v>217.76</v>
      </c>
      <c r="H128">
        <v>8</v>
      </c>
      <c r="I128" t="s">
        <v>123</v>
      </c>
      <c r="J128" t="s">
        <v>15</v>
      </c>
      <c r="K128" t="s">
        <v>52</v>
      </c>
      <c r="L128" t="s">
        <v>17</v>
      </c>
      <c r="M128" s="44" t="str">
        <f t="shared" si="1"/>
        <v>8 hr |</v>
      </c>
    </row>
    <row r="129" spans="1:13" x14ac:dyDescent="0.25">
      <c r="A129" t="s">
        <v>125</v>
      </c>
      <c r="B129" t="s">
        <v>131</v>
      </c>
      <c r="C129" t="s">
        <v>14</v>
      </c>
      <c r="D129" s="1">
        <v>0.625</v>
      </c>
      <c r="E129" s="1">
        <v>0.95833333333333337</v>
      </c>
      <c r="F129">
        <v>30.5</v>
      </c>
      <c r="G129">
        <v>244</v>
      </c>
      <c r="H129">
        <v>8</v>
      </c>
      <c r="J129" t="s">
        <v>15</v>
      </c>
      <c r="K129" t="s">
        <v>20</v>
      </c>
      <c r="L129" t="s">
        <v>132</v>
      </c>
      <c r="M129" s="44" t="str">
        <f t="shared" si="1"/>
        <v>8 hr |</v>
      </c>
    </row>
    <row r="130" spans="1:13" x14ac:dyDescent="0.25">
      <c r="A130" t="s">
        <v>125</v>
      </c>
      <c r="B130" t="s">
        <v>45</v>
      </c>
      <c r="C130" t="s">
        <v>46</v>
      </c>
      <c r="D130" s="1">
        <v>0.625</v>
      </c>
      <c r="E130" s="1">
        <v>0.95833333333333337</v>
      </c>
      <c r="F130">
        <v>26.88</v>
      </c>
      <c r="G130">
        <v>0</v>
      </c>
      <c r="H130">
        <v>8</v>
      </c>
      <c r="I130">
        <v>518</v>
      </c>
      <c r="J130" t="s">
        <v>15</v>
      </c>
      <c r="K130" t="s">
        <v>20</v>
      </c>
      <c r="L130" t="s">
        <v>17</v>
      </c>
      <c r="M130" s="44" t="str">
        <f t="shared" si="1"/>
        <v>8 hr |</v>
      </c>
    </row>
    <row r="131" spans="1:13" x14ac:dyDescent="0.25">
      <c r="A131" t="s">
        <v>125</v>
      </c>
      <c r="B131" t="s">
        <v>54</v>
      </c>
      <c r="C131" t="s">
        <v>59</v>
      </c>
      <c r="D131" s="1">
        <v>0.66666666666666663</v>
      </c>
      <c r="E131" s="1">
        <v>0.83333333333333337</v>
      </c>
      <c r="F131">
        <v>26.88</v>
      </c>
      <c r="G131">
        <v>107.52</v>
      </c>
      <c r="H131">
        <v>4</v>
      </c>
      <c r="J131" t="s">
        <v>15</v>
      </c>
      <c r="K131" t="s">
        <v>16</v>
      </c>
      <c r="L131" t="s">
        <v>57</v>
      </c>
      <c r="M131" s="44" t="str">
        <f t="shared" ref="M131:M194" si="2">IF($K131="","",TRIM(MID($K131,FIND(":",$K131)+1,LEN($K131))))</f>
        <v>4 hr |</v>
      </c>
    </row>
    <row r="132" spans="1:13" x14ac:dyDescent="0.25">
      <c r="A132" t="s">
        <v>125</v>
      </c>
      <c r="B132" t="s">
        <v>105</v>
      </c>
      <c r="C132" t="s">
        <v>35</v>
      </c>
      <c r="D132" s="1">
        <v>0.66666666666666663</v>
      </c>
      <c r="E132" s="1">
        <v>0.95833333333333337</v>
      </c>
      <c r="F132">
        <v>26.88</v>
      </c>
      <c r="G132">
        <v>0</v>
      </c>
      <c r="H132">
        <v>7</v>
      </c>
      <c r="J132" t="s">
        <v>15</v>
      </c>
      <c r="K132" t="s">
        <v>106</v>
      </c>
      <c r="L132" t="s">
        <v>37</v>
      </c>
      <c r="M132" s="44" t="str">
        <f t="shared" si="2"/>
        <v>0 hr |</v>
      </c>
    </row>
    <row r="133" spans="1:13" x14ac:dyDescent="0.25">
      <c r="A133" t="s">
        <v>125</v>
      </c>
      <c r="B133" t="s">
        <v>48</v>
      </c>
      <c r="C133" t="s">
        <v>49</v>
      </c>
      <c r="D133" s="1">
        <v>0.70833333333333337</v>
      </c>
      <c r="E133" s="1">
        <v>0.95833333333333337</v>
      </c>
      <c r="F133">
        <v>26.88</v>
      </c>
      <c r="G133">
        <v>161.28</v>
      </c>
      <c r="H133">
        <v>6</v>
      </c>
      <c r="I133" t="s">
        <v>50</v>
      </c>
      <c r="K133" t="s">
        <v>42</v>
      </c>
      <c r="L133" t="s">
        <v>47</v>
      </c>
      <c r="M133" s="44" t="str">
        <f t="shared" si="2"/>
        <v>6 hr |</v>
      </c>
    </row>
    <row r="134" spans="1:13" x14ac:dyDescent="0.25">
      <c r="A134" t="s">
        <v>125</v>
      </c>
      <c r="B134" t="s">
        <v>62</v>
      </c>
      <c r="C134" t="s">
        <v>49</v>
      </c>
      <c r="D134" s="1">
        <v>0.70833333333333337</v>
      </c>
      <c r="E134" s="1">
        <v>0.95833333333333337</v>
      </c>
      <c r="F134">
        <v>27.22</v>
      </c>
      <c r="G134">
        <v>163.32</v>
      </c>
      <c r="H134">
        <v>6</v>
      </c>
      <c r="I134" t="s">
        <v>50</v>
      </c>
      <c r="K134" t="s">
        <v>29</v>
      </c>
      <c r="L134" t="s">
        <v>47</v>
      </c>
      <c r="M134" s="44" t="str">
        <f t="shared" si="2"/>
        <v>6 hr |</v>
      </c>
    </row>
    <row r="135" spans="1:13" x14ac:dyDescent="0.25">
      <c r="A135" t="s">
        <v>125</v>
      </c>
      <c r="B135" t="s">
        <v>86</v>
      </c>
      <c r="C135" t="s">
        <v>55</v>
      </c>
      <c r="D135" s="1">
        <v>0.70833333333333337</v>
      </c>
      <c r="E135" s="1">
        <v>0.91666666666666663</v>
      </c>
      <c r="F135">
        <v>26.88</v>
      </c>
      <c r="G135">
        <v>134.4</v>
      </c>
      <c r="H135">
        <v>5</v>
      </c>
      <c r="K135" t="s">
        <v>87</v>
      </c>
      <c r="L135" t="s">
        <v>57</v>
      </c>
      <c r="M135" s="44" t="str">
        <f t="shared" si="2"/>
        <v>5 hr |</v>
      </c>
    </row>
    <row r="136" spans="1:13" x14ac:dyDescent="0.25">
      <c r="A136" t="s">
        <v>125</v>
      </c>
      <c r="B136" t="s">
        <v>61</v>
      </c>
      <c r="C136" t="s">
        <v>32</v>
      </c>
      <c r="D136" s="1">
        <v>0.70833333333333337</v>
      </c>
      <c r="E136" s="1">
        <v>0.95833333333333337</v>
      </c>
      <c r="F136">
        <v>27.22</v>
      </c>
      <c r="G136">
        <v>163.32</v>
      </c>
      <c r="H136">
        <v>6</v>
      </c>
      <c r="I136">
        <v>211</v>
      </c>
      <c r="J136" t="s">
        <v>15</v>
      </c>
      <c r="K136" t="s">
        <v>29</v>
      </c>
      <c r="L136" t="s">
        <v>47</v>
      </c>
      <c r="M136" s="44" t="str">
        <f t="shared" si="2"/>
        <v>6 hr |</v>
      </c>
    </row>
    <row r="137" spans="1:13" x14ac:dyDescent="0.25">
      <c r="A137" t="s">
        <v>125</v>
      </c>
      <c r="B137" t="s">
        <v>108</v>
      </c>
      <c r="C137" t="s">
        <v>46</v>
      </c>
      <c r="D137" s="1">
        <v>0.70833333333333337</v>
      </c>
      <c r="E137" s="1">
        <v>0.95833333333333337</v>
      </c>
      <c r="F137">
        <v>26.88</v>
      </c>
      <c r="G137">
        <v>0</v>
      </c>
      <c r="H137">
        <v>6</v>
      </c>
      <c r="I137">
        <v>411</v>
      </c>
      <c r="J137" t="s">
        <v>15</v>
      </c>
      <c r="K137" t="s">
        <v>42</v>
      </c>
      <c r="L137" t="s">
        <v>47</v>
      </c>
      <c r="M137" s="44" t="str">
        <f t="shared" si="2"/>
        <v>6 hr |</v>
      </c>
    </row>
    <row r="138" spans="1:13" x14ac:dyDescent="0.25">
      <c r="A138" t="s">
        <v>125</v>
      </c>
      <c r="B138" t="s">
        <v>82</v>
      </c>
      <c r="C138" t="s">
        <v>75</v>
      </c>
      <c r="D138" s="1">
        <v>0.95833333333333337</v>
      </c>
      <c r="E138" s="1">
        <v>0.375</v>
      </c>
      <c r="F138">
        <v>27.22</v>
      </c>
      <c r="G138">
        <v>272.2</v>
      </c>
      <c r="H138">
        <v>10</v>
      </c>
      <c r="K138" t="s">
        <v>94</v>
      </c>
      <c r="L138" t="s">
        <v>37</v>
      </c>
      <c r="M138" s="44" t="str">
        <f t="shared" si="2"/>
        <v>10 hr |</v>
      </c>
    </row>
    <row r="139" spans="1:13" x14ac:dyDescent="0.25">
      <c r="A139" t="s">
        <v>125</v>
      </c>
      <c r="B139" t="s">
        <v>124</v>
      </c>
      <c r="C139" t="s">
        <v>46</v>
      </c>
      <c r="D139" s="1">
        <v>0.95833333333333337</v>
      </c>
      <c r="E139" s="1">
        <v>0.375</v>
      </c>
      <c r="F139">
        <v>27.22</v>
      </c>
      <c r="G139">
        <v>272.2</v>
      </c>
      <c r="H139">
        <v>10</v>
      </c>
      <c r="I139">
        <v>318</v>
      </c>
      <c r="J139" t="s">
        <v>15</v>
      </c>
      <c r="K139" t="s">
        <v>94</v>
      </c>
      <c r="L139" t="s">
        <v>17</v>
      </c>
      <c r="M139" s="44" t="str">
        <f t="shared" si="2"/>
        <v>10 hr |</v>
      </c>
    </row>
    <row r="140" spans="1:13" x14ac:dyDescent="0.25">
      <c r="A140" t="s">
        <v>125</v>
      </c>
      <c r="B140" t="s">
        <v>95</v>
      </c>
      <c r="C140" t="s">
        <v>32</v>
      </c>
      <c r="D140" s="1">
        <v>0.95833333333333337</v>
      </c>
      <c r="E140" s="1">
        <v>0.375</v>
      </c>
      <c r="F140">
        <v>27.22</v>
      </c>
      <c r="G140">
        <v>272.2</v>
      </c>
      <c r="H140">
        <v>10</v>
      </c>
      <c r="I140">
        <v>318</v>
      </c>
      <c r="J140" t="s">
        <v>15</v>
      </c>
      <c r="K140" t="s">
        <v>94</v>
      </c>
      <c r="L140" t="s">
        <v>17</v>
      </c>
      <c r="M140" s="44" t="str">
        <f t="shared" si="2"/>
        <v>10 hr |</v>
      </c>
    </row>
    <row r="141" spans="1:13" x14ac:dyDescent="0.25">
      <c r="A141" t="s">
        <v>125</v>
      </c>
      <c r="B141" t="s">
        <v>122</v>
      </c>
      <c r="C141" t="s">
        <v>46</v>
      </c>
      <c r="D141" s="1">
        <v>0.95833333333333337</v>
      </c>
      <c r="E141" s="1">
        <v>0.375</v>
      </c>
      <c r="F141">
        <v>27.22</v>
      </c>
      <c r="G141">
        <v>272.2</v>
      </c>
      <c r="H141">
        <v>10</v>
      </c>
      <c r="I141">
        <v>605</v>
      </c>
      <c r="J141" t="s">
        <v>15</v>
      </c>
      <c r="K141" t="s">
        <v>94</v>
      </c>
      <c r="L141" t="s">
        <v>47</v>
      </c>
      <c r="M141" s="44" t="str">
        <f t="shared" si="2"/>
        <v>10 hr |</v>
      </c>
    </row>
    <row r="142" spans="1:13" x14ac:dyDescent="0.25">
      <c r="A142" t="s">
        <v>125</v>
      </c>
      <c r="B142" t="s">
        <v>13</v>
      </c>
      <c r="C142" t="s">
        <v>14</v>
      </c>
      <c r="D142" s="1">
        <v>0.95833333333333337</v>
      </c>
      <c r="E142" s="1">
        <v>0.29166666666666669</v>
      </c>
      <c r="F142">
        <v>30.5</v>
      </c>
      <c r="G142">
        <v>244</v>
      </c>
      <c r="H142">
        <v>8</v>
      </c>
      <c r="J142" t="s">
        <v>15</v>
      </c>
      <c r="K142" t="s">
        <v>20</v>
      </c>
      <c r="L142" t="s">
        <v>132</v>
      </c>
      <c r="M142" s="44" t="str">
        <f t="shared" si="2"/>
        <v>8 hr |</v>
      </c>
    </row>
    <row r="143" spans="1:13" x14ac:dyDescent="0.25">
      <c r="A143" t="s">
        <v>125</v>
      </c>
      <c r="B143" t="s">
        <v>115</v>
      </c>
      <c r="C143" t="s">
        <v>32</v>
      </c>
      <c r="D143" s="1">
        <v>0.95833333333333337</v>
      </c>
      <c r="E143" s="1">
        <v>0.375</v>
      </c>
      <c r="F143">
        <v>27.22</v>
      </c>
      <c r="G143">
        <v>272.2</v>
      </c>
      <c r="H143">
        <v>10</v>
      </c>
      <c r="I143">
        <v>214</v>
      </c>
      <c r="J143" t="s">
        <v>15</v>
      </c>
      <c r="K143" t="s">
        <v>94</v>
      </c>
      <c r="L143" t="s">
        <v>17</v>
      </c>
      <c r="M143" s="44" t="str">
        <f t="shared" si="2"/>
        <v>10 hr |</v>
      </c>
    </row>
    <row r="144" spans="1:13" x14ac:dyDescent="0.25">
      <c r="A144" t="s">
        <v>125</v>
      </c>
      <c r="B144" t="s">
        <v>115</v>
      </c>
      <c r="C144" t="s">
        <v>32</v>
      </c>
      <c r="D144" s="1">
        <v>0.95833333333333337</v>
      </c>
      <c r="E144" s="1">
        <v>0.375</v>
      </c>
      <c r="F144">
        <v>27.22</v>
      </c>
      <c r="G144">
        <v>0</v>
      </c>
      <c r="H144">
        <v>10</v>
      </c>
      <c r="I144">
        <v>211</v>
      </c>
      <c r="J144" t="s">
        <v>15</v>
      </c>
      <c r="K144" t="s">
        <v>94</v>
      </c>
      <c r="L144" t="s">
        <v>17</v>
      </c>
      <c r="M144" s="44" t="str">
        <f t="shared" si="2"/>
        <v>10 hr |</v>
      </c>
    </row>
    <row r="145" spans="1:13" x14ac:dyDescent="0.25">
      <c r="A145" t="s">
        <v>133</v>
      </c>
      <c r="B145" t="s">
        <v>102</v>
      </c>
      <c r="C145" t="s">
        <v>14</v>
      </c>
      <c r="D145" s="1">
        <v>0.29166666666666669</v>
      </c>
      <c r="E145" s="1">
        <v>0.625</v>
      </c>
      <c r="F145">
        <v>30.5</v>
      </c>
      <c r="G145">
        <v>244</v>
      </c>
      <c r="H145">
        <v>8</v>
      </c>
      <c r="J145" t="s">
        <v>15</v>
      </c>
      <c r="K145" t="s">
        <v>20</v>
      </c>
      <c r="L145" t="s">
        <v>17</v>
      </c>
      <c r="M145" s="44" t="str">
        <f t="shared" si="2"/>
        <v>8 hr |</v>
      </c>
    </row>
    <row r="146" spans="1:13" x14ac:dyDescent="0.25">
      <c r="A146" t="s">
        <v>133</v>
      </c>
      <c r="B146" t="s">
        <v>81</v>
      </c>
      <c r="C146" t="s">
        <v>35</v>
      </c>
      <c r="D146" s="1">
        <v>0.35416666666666669</v>
      </c>
      <c r="E146" s="1">
        <v>0.66666666666666663</v>
      </c>
      <c r="F146">
        <v>26.88</v>
      </c>
      <c r="G146">
        <v>201.6</v>
      </c>
      <c r="H146">
        <v>7.5</v>
      </c>
      <c r="J146" t="s">
        <v>15</v>
      </c>
      <c r="K146" t="s">
        <v>39</v>
      </c>
      <c r="L146" t="s">
        <v>37</v>
      </c>
      <c r="M146" s="44" t="str">
        <f t="shared" si="2"/>
        <v>7.5 hr |</v>
      </c>
    </row>
    <row r="147" spans="1:13" x14ac:dyDescent="0.25">
      <c r="A147" t="s">
        <v>133</v>
      </c>
      <c r="B147" t="s">
        <v>18</v>
      </c>
      <c r="C147" t="s">
        <v>35</v>
      </c>
      <c r="D147" s="1">
        <v>0.35416666666666669</v>
      </c>
      <c r="E147" s="1">
        <v>0.625</v>
      </c>
      <c r="F147">
        <v>26.88</v>
      </c>
      <c r="G147">
        <v>174.72</v>
      </c>
      <c r="H147">
        <v>6.5</v>
      </c>
      <c r="J147" t="s">
        <v>15</v>
      </c>
      <c r="K147" t="s">
        <v>104</v>
      </c>
      <c r="L147" t="s">
        <v>37</v>
      </c>
      <c r="M147" s="44" t="str">
        <f t="shared" si="2"/>
        <v>6.5 hr |</v>
      </c>
    </row>
    <row r="148" spans="1:13" x14ac:dyDescent="0.25">
      <c r="A148" t="s">
        <v>133</v>
      </c>
      <c r="B148" t="s">
        <v>84</v>
      </c>
      <c r="C148" t="s">
        <v>49</v>
      </c>
      <c r="D148" s="1">
        <v>0.375</v>
      </c>
      <c r="E148" s="1">
        <v>0.70833333333333337</v>
      </c>
      <c r="F148">
        <v>26.88</v>
      </c>
      <c r="G148">
        <v>215.04</v>
      </c>
      <c r="H148">
        <v>8</v>
      </c>
      <c r="I148" t="s">
        <v>50</v>
      </c>
      <c r="K148" t="s">
        <v>20</v>
      </c>
      <c r="L148" t="s">
        <v>47</v>
      </c>
      <c r="M148" s="44" t="str">
        <f t="shared" si="2"/>
        <v>8 hr |</v>
      </c>
    </row>
    <row r="149" spans="1:13" x14ac:dyDescent="0.25">
      <c r="A149" t="s">
        <v>133</v>
      </c>
      <c r="B149" t="s">
        <v>51</v>
      </c>
      <c r="C149" t="s">
        <v>22</v>
      </c>
      <c r="D149" s="1">
        <v>0.375</v>
      </c>
      <c r="E149" s="1">
        <v>0.70833333333333337</v>
      </c>
      <c r="F149">
        <v>27.22</v>
      </c>
      <c r="G149">
        <v>217.76</v>
      </c>
      <c r="H149">
        <v>8</v>
      </c>
      <c r="K149" t="s">
        <v>52</v>
      </c>
      <c r="L149" t="s">
        <v>23</v>
      </c>
      <c r="M149" s="44" t="str">
        <f t="shared" si="2"/>
        <v>8 hr |</v>
      </c>
    </row>
    <row r="150" spans="1:13" x14ac:dyDescent="0.25">
      <c r="A150" t="s">
        <v>133</v>
      </c>
      <c r="B150" t="s">
        <v>69</v>
      </c>
      <c r="C150" t="s">
        <v>70</v>
      </c>
      <c r="D150" s="1">
        <v>0.375</v>
      </c>
      <c r="E150" s="1">
        <v>0.625</v>
      </c>
      <c r="F150">
        <v>30.5</v>
      </c>
      <c r="G150">
        <v>183</v>
      </c>
      <c r="H150">
        <v>6</v>
      </c>
      <c r="K150" t="s">
        <v>42</v>
      </c>
      <c r="L150" t="s">
        <v>57</v>
      </c>
      <c r="M150" s="44" t="str">
        <f t="shared" si="2"/>
        <v>6 hr |</v>
      </c>
    </row>
    <row r="151" spans="1:13" x14ac:dyDescent="0.25">
      <c r="A151" t="s">
        <v>133</v>
      </c>
      <c r="B151" t="s">
        <v>107</v>
      </c>
      <c r="C151" t="s">
        <v>55</v>
      </c>
      <c r="D151" s="1">
        <v>0.375</v>
      </c>
      <c r="E151" s="1">
        <v>0.58333333333333337</v>
      </c>
      <c r="F151">
        <v>26.88</v>
      </c>
      <c r="G151">
        <v>134.4</v>
      </c>
      <c r="H151">
        <v>5</v>
      </c>
      <c r="K151" t="s">
        <v>87</v>
      </c>
      <c r="L151" t="s">
        <v>57</v>
      </c>
      <c r="M151" s="44" t="str">
        <f t="shared" si="2"/>
        <v>5 hr |</v>
      </c>
    </row>
    <row r="152" spans="1:13" x14ac:dyDescent="0.25">
      <c r="A152" t="s">
        <v>133</v>
      </c>
      <c r="B152" t="s">
        <v>108</v>
      </c>
      <c r="C152" t="s">
        <v>46</v>
      </c>
      <c r="D152" s="1">
        <v>0.375</v>
      </c>
      <c r="E152" s="1">
        <v>0.625</v>
      </c>
      <c r="F152">
        <v>26.88</v>
      </c>
      <c r="G152">
        <v>161.28</v>
      </c>
      <c r="H152">
        <v>6</v>
      </c>
      <c r="I152">
        <v>518</v>
      </c>
      <c r="J152" t="s">
        <v>15</v>
      </c>
      <c r="K152" t="s">
        <v>42</v>
      </c>
      <c r="L152" t="s">
        <v>17</v>
      </c>
      <c r="M152" s="44" t="str">
        <f t="shared" si="2"/>
        <v>6 hr |</v>
      </c>
    </row>
    <row r="153" spans="1:13" x14ac:dyDescent="0.25">
      <c r="A153" t="s">
        <v>133</v>
      </c>
      <c r="B153" t="s">
        <v>114</v>
      </c>
      <c r="C153" t="s">
        <v>46</v>
      </c>
      <c r="D153" s="1">
        <v>0.375</v>
      </c>
      <c r="E153" s="1">
        <v>0.70833333333333337</v>
      </c>
      <c r="F153">
        <v>26.88</v>
      </c>
      <c r="G153">
        <v>215.04</v>
      </c>
      <c r="H153">
        <v>8</v>
      </c>
      <c r="I153">
        <v>401</v>
      </c>
      <c r="J153" t="s">
        <v>15</v>
      </c>
      <c r="K153" t="s">
        <v>20</v>
      </c>
      <c r="L153" t="s">
        <v>47</v>
      </c>
      <c r="M153" s="44" t="str">
        <f t="shared" si="2"/>
        <v>8 hr |</v>
      </c>
    </row>
    <row r="154" spans="1:13" x14ac:dyDescent="0.25">
      <c r="A154" t="s">
        <v>133</v>
      </c>
      <c r="B154" t="s">
        <v>93</v>
      </c>
      <c r="C154" t="s">
        <v>75</v>
      </c>
      <c r="D154" s="1">
        <v>0.375</v>
      </c>
      <c r="E154" s="1">
        <v>0.625</v>
      </c>
      <c r="F154">
        <v>27.22</v>
      </c>
      <c r="G154">
        <v>163.32</v>
      </c>
      <c r="H154">
        <v>6</v>
      </c>
      <c r="K154" t="s">
        <v>29</v>
      </c>
      <c r="L154" t="s">
        <v>37</v>
      </c>
      <c r="M154" s="44" t="str">
        <f t="shared" si="2"/>
        <v>6 hr |</v>
      </c>
    </row>
    <row r="155" spans="1:13" x14ac:dyDescent="0.25">
      <c r="A155" t="s">
        <v>133</v>
      </c>
      <c r="B155" t="s">
        <v>76</v>
      </c>
      <c r="C155" t="s">
        <v>28</v>
      </c>
      <c r="D155" s="1">
        <v>0.375</v>
      </c>
      <c r="E155" s="1">
        <v>0.625</v>
      </c>
      <c r="F155">
        <v>26.88</v>
      </c>
      <c r="G155">
        <v>161.28</v>
      </c>
      <c r="H155">
        <v>6</v>
      </c>
      <c r="K155" t="s">
        <v>42</v>
      </c>
      <c r="L155" t="s">
        <v>57</v>
      </c>
      <c r="M155" s="44" t="str">
        <f t="shared" si="2"/>
        <v>6 hr |</v>
      </c>
    </row>
    <row r="156" spans="1:13" x14ac:dyDescent="0.25">
      <c r="A156" t="s">
        <v>133</v>
      </c>
      <c r="B156" t="s">
        <v>112</v>
      </c>
      <c r="C156" t="s">
        <v>32</v>
      </c>
      <c r="D156" s="1">
        <v>0.39583333333333331</v>
      </c>
      <c r="E156" s="1">
        <v>0.70833333333333337</v>
      </c>
      <c r="F156">
        <v>27.22</v>
      </c>
      <c r="G156">
        <v>204.15</v>
      </c>
      <c r="H156">
        <v>7.5</v>
      </c>
      <c r="I156">
        <v>211</v>
      </c>
      <c r="J156" t="s">
        <v>15</v>
      </c>
      <c r="K156" t="s">
        <v>36</v>
      </c>
      <c r="L156" t="s">
        <v>17</v>
      </c>
      <c r="M156" s="44" t="str">
        <f t="shared" si="2"/>
        <v>7.5 hr |</v>
      </c>
    </row>
    <row r="157" spans="1:13" x14ac:dyDescent="0.25">
      <c r="A157" t="s">
        <v>133</v>
      </c>
      <c r="B157" t="s">
        <v>71</v>
      </c>
      <c r="C157" t="s">
        <v>70</v>
      </c>
      <c r="D157" s="1">
        <v>0.41666666666666669</v>
      </c>
      <c r="E157" s="1">
        <v>0.58333333333333337</v>
      </c>
      <c r="F157">
        <v>30.5</v>
      </c>
      <c r="G157">
        <v>122</v>
      </c>
      <c r="H157">
        <v>4</v>
      </c>
      <c r="K157" t="s">
        <v>16</v>
      </c>
      <c r="L157" t="s">
        <v>57</v>
      </c>
      <c r="M157" s="44" t="str">
        <f t="shared" si="2"/>
        <v>4 hr |</v>
      </c>
    </row>
    <row r="158" spans="1:13" x14ac:dyDescent="0.25">
      <c r="A158" t="s">
        <v>133</v>
      </c>
      <c r="B158" t="s">
        <v>24</v>
      </c>
      <c r="C158" t="s">
        <v>22</v>
      </c>
      <c r="D158" s="1">
        <v>0.41666666666666669</v>
      </c>
      <c r="E158" s="1">
        <v>0.70833333333333337</v>
      </c>
      <c r="F158">
        <v>26.88</v>
      </c>
      <c r="G158">
        <v>188.16</v>
      </c>
      <c r="H158">
        <v>7</v>
      </c>
      <c r="K158" t="s">
        <v>56</v>
      </c>
      <c r="L158" t="s">
        <v>23</v>
      </c>
      <c r="M158" s="44" t="str">
        <f t="shared" si="2"/>
        <v>7 hr |</v>
      </c>
    </row>
    <row r="159" spans="1:13" x14ac:dyDescent="0.25">
      <c r="A159" t="s">
        <v>133</v>
      </c>
      <c r="B159" t="s">
        <v>71</v>
      </c>
      <c r="C159" t="s">
        <v>70</v>
      </c>
      <c r="D159" s="1">
        <v>0.41666666666666669</v>
      </c>
      <c r="E159" s="1">
        <v>0.58333333333333337</v>
      </c>
      <c r="F159">
        <v>30.5</v>
      </c>
      <c r="G159">
        <v>0</v>
      </c>
      <c r="H159">
        <v>4</v>
      </c>
      <c r="K159" t="s">
        <v>16</v>
      </c>
      <c r="L159" t="s">
        <v>57</v>
      </c>
      <c r="M159" s="44" t="str">
        <f t="shared" si="2"/>
        <v>4 hr |</v>
      </c>
    </row>
    <row r="160" spans="1:13" x14ac:dyDescent="0.25">
      <c r="A160" t="s">
        <v>133</v>
      </c>
      <c r="B160" t="s">
        <v>134</v>
      </c>
      <c r="C160" t="s">
        <v>135</v>
      </c>
      <c r="D160" s="1">
        <v>0.45833333333333331</v>
      </c>
      <c r="E160" s="1">
        <v>0.70833333333333337</v>
      </c>
      <c r="F160">
        <v>29</v>
      </c>
      <c r="G160">
        <v>174</v>
      </c>
      <c r="H160">
        <v>6</v>
      </c>
      <c r="K160" t="s">
        <v>42</v>
      </c>
      <c r="L160" t="s">
        <v>23</v>
      </c>
      <c r="M160" s="44" t="str">
        <f t="shared" si="2"/>
        <v>6 hr |</v>
      </c>
    </row>
    <row r="161" spans="1:13" x14ac:dyDescent="0.25">
      <c r="A161" t="s">
        <v>133</v>
      </c>
      <c r="B161" t="s">
        <v>74</v>
      </c>
      <c r="C161" t="s">
        <v>75</v>
      </c>
      <c r="D161" s="1">
        <v>0.5</v>
      </c>
      <c r="E161" s="1">
        <v>0.79166666666666663</v>
      </c>
      <c r="F161">
        <v>26.88</v>
      </c>
      <c r="G161">
        <v>188.16</v>
      </c>
      <c r="H161">
        <v>7</v>
      </c>
      <c r="K161" t="s">
        <v>56</v>
      </c>
      <c r="L161" t="s">
        <v>37</v>
      </c>
      <c r="M161" s="44" t="str">
        <f t="shared" si="2"/>
        <v>7 hr |</v>
      </c>
    </row>
    <row r="162" spans="1:13" x14ac:dyDescent="0.25">
      <c r="A162" t="s">
        <v>133</v>
      </c>
      <c r="B162" t="s">
        <v>72</v>
      </c>
      <c r="C162" t="s">
        <v>73</v>
      </c>
      <c r="D162" s="1">
        <v>0.5</v>
      </c>
      <c r="E162" s="1">
        <v>0.66666666666666663</v>
      </c>
      <c r="F162">
        <v>22</v>
      </c>
      <c r="G162">
        <v>88</v>
      </c>
      <c r="H162">
        <v>4</v>
      </c>
      <c r="K162" t="s">
        <v>68</v>
      </c>
      <c r="L162" t="s">
        <v>47</v>
      </c>
      <c r="M162" s="44" t="str">
        <f t="shared" si="2"/>
        <v>4 hr |</v>
      </c>
    </row>
    <row r="163" spans="1:13" x14ac:dyDescent="0.25">
      <c r="A163" t="s">
        <v>133</v>
      </c>
      <c r="B163" t="s">
        <v>136</v>
      </c>
      <c r="C163" t="s">
        <v>46</v>
      </c>
      <c r="D163" s="1">
        <v>0.54166666666666663</v>
      </c>
      <c r="E163" s="1">
        <v>0.875</v>
      </c>
      <c r="F163">
        <v>26.88</v>
      </c>
      <c r="G163">
        <v>215.04</v>
      </c>
      <c r="H163">
        <v>8</v>
      </c>
      <c r="I163" t="s">
        <v>137</v>
      </c>
      <c r="J163" t="s">
        <v>15</v>
      </c>
      <c r="K163" t="s">
        <v>20</v>
      </c>
      <c r="L163" t="s">
        <v>57</v>
      </c>
      <c r="M163" s="44" t="str">
        <f t="shared" si="2"/>
        <v>8 hr |</v>
      </c>
    </row>
    <row r="164" spans="1:13" x14ac:dyDescent="0.25">
      <c r="A164" t="s">
        <v>133</v>
      </c>
      <c r="B164" t="s">
        <v>130</v>
      </c>
      <c r="C164" t="s">
        <v>22</v>
      </c>
      <c r="D164" s="1">
        <v>0.625</v>
      </c>
      <c r="E164" s="1">
        <v>0.95833333333333337</v>
      </c>
      <c r="F164">
        <v>26.88</v>
      </c>
      <c r="G164">
        <v>215.04</v>
      </c>
      <c r="H164">
        <v>8</v>
      </c>
      <c r="K164" t="s">
        <v>20</v>
      </c>
      <c r="L164" t="s">
        <v>23</v>
      </c>
      <c r="M164" s="44" t="str">
        <f t="shared" si="2"/>
        <v>8 hr |</v>
      </c>
    </row>
    <row r="165" spans="1:13" x14ac:dyDescent="0.25">
      <c r="A165" t="s">
        <v>133</v>
      </c>
      <c r="B165" t="s">
        <v>101</v>
      </c>
      <c r="C165" t="s">
        <v>78</v>
      </c>
      <c r="D165" s="1">
        <v>0.625</v>
      </c>
      <c r="E165" s="1">
        <v>0.95833333333333337</v>
      </c>
      <c r="F165">
        <v>35</v>
      </c>
      <c r="G165">
        <v>280</v>
      </c>
      <c r="H165">
        <v>8</v>
      </c>
      <c r="K165" t="s">
        <v>20</v>
      </c>
      <c r="L165" t="s">
        <v>57</v>
      </c>
      <c r="M165" s="44" t="str">
        <f t="shared" si="2"/>
        <v>8 hr |</v>
      </c>
    </row>
    <row r="166" spans="1:13" x14ac:dyDescent="0.25">
      <c r="A166" t="s">
        <v>133</v>
      </c>
      <c r="B166" t="s">
        <v>98</v>
      </c>
      <c r="C166" t="s">
        <v>46</v>
      </c>
      <c r="D166" s="1">
        <v>0.625</v>
      </c>
      <c r="E166" s="1">
        <v>0.95833333333333337</v>
      </c>
      <c r="F166">
        <v>27.22</v>
      </c>
      <c r="G166">
        <v>217.76</v>
      </c>
      <c r="H166">
        <v>8</v>
      </c>
      <c r="I166">
        <v>518</v>
      </c>
      <c r="J166" t="s">
        <v>15</v>
      </c>
      <c r="K166" t="s">
        <v>52</v>
      </c>
      <c r="L166" t="s">
        <v>47</v>
      </c>
      <c r="M166" s="44" t="str">
        <f t="shared" si="2"/>
        <v>8 hr |</v>
      </c>
    </row>
    <row r="167" spans="1:13" x14ac:dyDescent="0.25">
      <c r="A167" t="s">
        <v>133</v>
      </c>
      <c r="B167" t="s">
        <v>60</v>
      </c>
      <c r="C167" t="s">
        <v>32</v>
      </c>
      <c r="D167" s="1">
        <v>0.625</v>
      </c>
      <c r="E167" s="1">
        <v>0.95833333333333337</v>
      </c>
      <c r="F167">
        <v>27.22</v>
      </c>
      <c r="G167">
        <v>217.76</v>
      </c>
      <c r="H167">
        <v>8</v>
      </c>
      <c r="I167" t="s">
        <v>123</v>
      </c>
      <c r="J167" t="s">
        <v>15</v>
      </c>
      <c r="K167" t="s">
        <v>52</v>
      </c>
      <c r="L167" t="s">
        <v>17</v>
      </c>
      <c r="M167" s="44" t="str">
        <f t="shared" si="2"/>
        <v>8 hr |</v>
      </c>
    </row>
    <row r="168" spans="1:13" x14ac:dyDescent="0.25">
      <c r="A168" t="s">
        <v>133</v>
      </c>
      <c r="B168" t="s">
        <v>13</v>
      </c>
      <c r="C168" t="s">
        <v>14</v>
      </c>
      <c r="D168" s="1">
        <v>0.625</v>
      </c>
      <c r="E168" s="1">
        <v>0.95833333333333337</v>
      </c>
      <c r="F168">
        <v>30.5</v>
      </c>
      <c r="G168">
        <v>244</v>
      </c>
      <c r="H168">
        <v>8</v>
      </c>
      <c r="J168" t="s">
        <v>15</v>
      </c>
      <c r="K168" t="s">
        <v>20</v>
      </c>
      <c r="L168" t="s">
        <v>47</v>
      </c>
      <c r="M168" s="44" t="str">
        <f t="shared" si="2"/>
        <v>8 hr |</v>
      </c>
    </row>
    <row r="169" spans="1:13" x14ac:dyDescent="0.25">
      <c r="A169" t="s">
        <v>133</v>
      </c>
      <c r="B169" t="s">
        <v>34</v>
      </c>
      <c r="C169" t="s">
        <v>35</v>
      </c>
      <c r="D169" s="1">
        <v>0.625</v>
      </c>
      <c r="E169" s="1">
        <v>0.95833333333333337</v>
      </c>
      <c r="F169">
        <v>27.22</v>
      </c>
      <c r="G169">
        <v>217.76</v>
      </c>
      <c r="H169">
        <v>8</v>
      </c>
      <c r="J169" t="s">
        <v>15</v>
      </c>
      <c r="K169" t="s">
        <v>52</v>
      </c>
      <c r="L169" t="s">
        <v>37</v>
      </c>
      <c r="M169" s="44" t="str">
        <f t="shared" si="2"/>
        <v>8 hr |</v>
      </c>
    </row>
    <row r="170" spans="1:13" x14ac:dyDescent="0.25">
      <c r="A170" t="s">
        <v>133</v>
      </c>
      <c r="B170" t="s">
        <v>114</v>
      </c>
      <c r="C170" t="s">
        <v>46</v>
      </c>
      <c r="D170" s="1">
        <v>0.625</v>
      </c>
      <c r="E170" s="1">
        <v>0.95833333333333337</v>
      </c>
      <c r="F170">
        <v>26.88</v>
      </c>
      <c r="G170">
        <v>0</v>
      </c>
      <c r="H170">
        <v>8</v>
      </c>
      <c r="I170">
        <v>518</v>
      </c>
      <c r="J170" t="s">
        <v>15</v>
      </c>
      <c r="K170" t="s">
        <v>20</v>
      </c>
      <c r="L170" t="s">
        <v>17</v>
      </c>
      <c r="M170" s="44" t="str">
        <f t="shared" si="2"/>
        <v>8 hr |</v>
      </c>
    </row>
    <row r="171" spans="1:13" x14ac:dyDescent="0.25">
      <c r="A171" t="s">
        <v>133</v>
      </c>
      <c r="B171" t="s">
        <v>38</v>
      </c>
      <c r="C171" t="s">
        <v>35</v>
      </c>
      <c r="D171" s="1">
        <v>0.66666666666666663</v>
      </c>
      <c r="E171" s="1">
        <v>0.95833333333333337</v>
      </c>
      <c r="F171">
        <v>26.88</v>
      </c>
      <c r="G171">
        <v>188.16</v>
      </c>
      <c r="H171">
        <v>7</v>
      </c>
      <c r="J171" t="s">
        <v>15</v>
      </c>
      <c r="K171" t="s">
        <v>56</v>
      </c>
      <c r="L171" t="s">
        <v>37</v>
      </c>
      <c r="M171" s="44" t="str">
        <f t="shared" si="2"/>
        <v>7 hr |</v>
      </c>
    </row>
    <row r="172" spans="1:13" x14ac:dyDescent="0.25">
      <c r="A172" t="s">
        <v>133</v>
      </c>
      <c r="B172" t="s">
        <v>105</v>
      </c>
      <c r="C172" t="s">
        <v>35</v>
      </c>
      <c r="D172" s="1">
        <v>0.66666666666666663</v>
      </c>
      <c r="E172" s="1">
        <v>0.95833333333333337</v>
      </c>
      <c r="F172">
        <v>26.88</v>
      </c>
      <c r="G172">
        <v>0</v>
      </c>
      <c r="H172">
        <v>7</v>
      </c>
      <c r="J172" t="s">
        <v>15</v>
      </c>
      <c r="K172" t="s">
        <v>106</v>
      </c>
      <c r="L172" t="s">
        <v>37</v>
      </c>
      <c r="M172" s="44" t="str">
        <f t="shared" si="2"/>
        <v>0 hr |</v>
      </c>
    </row>
    <row r="173" spans="1:13" x14ac:dyDescent="0.25">
      <c r="A173" t="s">
        <v>133</v>
      </c>
      <c r="B173" t="s">
        <v>105</v>
      </c>
      <c r="C173" t="s">
        <v>35</v>
      </c>
      <c r="D173" s="1">
        <v>0.66666666666666663</v>
      </c>
      <c r="E173" s="1">
        <v>0.95833333333333337</v>
      </c>
      <c r="F173">
        <v>26.88</v>
      </c>
      <c r="G173">
        <v>0</v>
      </c>
      <c r="H173">
        <v>7</v>
      </c>
      <c r="J173" t="s">
        <v>15</v>
      </c>
      <c r="K173" t="s">
        <v>106</v>
      </c>
      <c r="L173" t="s">
        <v>37</v>
      </c>
      <c r="M173" s="44" t="str">
        <f t="shared" si="2"/>
        <v>0 hr |</v>
      </c>
    </row>
    <row r="174" spans="1:13" x14ac:dyDescent="0.25">
      <c r="A174" t="s">
        <v>133</v>
      </c>
      <c r="B174" t="s">
        <v>54</v>
      </c>
      <c r="C174" t="s">
        <v>59</v>
      </c>
      <c r="D174" s="1">
        <v>0.66666666666666663</v>
      </c>
      <c r="E174" s="1">
        <v>0.83333333333333337</v>
      </c>
      <c r="F174">
        <v>26.88</v>
      </c>
      <c r="G174">
        <v>0</v>
      </c>
      <c r="H174">
        <v>4</v>
      </c>
      <c r="J174" t="s">
        <v>15</v>
      </c>
      <c r="K174" t="s">
        <v>16</v>
      </c>
      <c r="L174" t="s">
        <v>57</v>
      </c>
      <c r="M174" s="44" t="str">
        <f t="shared" si="2"/>
        <v>4 hr |</v>
      </c>
    </row>
    <row r="175" spans="1:13" x14ac:dyDescent="0.25">
      <c r="A175" t="s">
        <v>133</v>
      </c>
      <c r="B175" t="s">
        <v>48</v>
      </c>
      <c r="C175" t="s">
        <v>49</v>
      </c>
      <c r="D175" s="1">
        <v>0.70833333333333337</v>
      </c>
      <c r="E175" s="1">
        <v>0.95833333333333337</v>
      </c>
      <c r="F175">
        <v>26.88</v>
      </c>
      <c r="G175">
        <v>161.28</v>
      </c>
      <c r="H175">
        <v>6</v>
      </c>
      <c r="I175" t="s">
        <v>50</v>
      </c>
      <c r="K175" t="s">
        <v>42</v>
      </c>
      <c r="L175" t="s">
        <v>47</v>
      </c>
      <c r="M175" s="44" t="str">
        <f t="shared" si="2"/>
        <v>6 hr |</v>
      </c>
    </row>
    <row r="176" spans="1:13" x14ac:dyDescent="0.25">
      <c r="A176" t="s">
        <v>133</v>
      </c>
      <c r="B176" t="s">
        <v>85</v>
      </c>
      <c r="C176" t="s">
        <v>49</v>
      </c>
      <c r="D176" s="1">
        <v>0.70833333333333337</v>
      </c>
      <c r="E176" s="1">
        <v>0.95833333333333337</v>
      </c>
      <c r="F176">
        <v>27.22</v>
      </c>
      <c r="G176">
        <v>163.32</v>
      </c>
      <c r="H176">
        <v>6</v>
      </c>
      <c r="I176" t="s">
        <v>50</v>
      </c>
      <c r="K176" t="s">
        <v>29</v>
      </c>
      <c r="L176" t="s">
        <v>47</v>
      </c>
      <c r="M176" s="44" t="str">
        <f t="shared" si="2"/>
        <v>6 hr |</v>
      </c>
    </row>
    <row r="177" spans="1:13" x14ac:dyDescent="0.25">
      <c r="A177" t="s">
        <v>133</v>
      </c>
      <c r="B177" t="s">
        <v>21</v>
      </c>
      <c r="C177" t="s">
        <v>22</v>
      </c>
      <c r="D177" s="1">
        <v>0.70833333333333337</v>
      </c>
      <c r="E177" s="1">
        <v>0.95833333333333337</v>
      </c>
      <c r="F177">
        <v>26.88</v>
      </c>
      <c r="G177">
        <v>161.28</v>
      </c>
      <c r="H177">
        <v>6</v>
      </c>
      <c r="K177" t="s">
        <v>42</v>
      </c>
      <c r="L177" t="s">
        <v>23</v>
      </c>
      <c r="M177" s="44" t="str">
        <f t="shared" si="2"/>
        <v>6 hr |</v>
      </c>
    </row>
    <row r="178" spans="1:13" x14ac:dyDescent="0.25">
      <c r="A178" t="s">
        <v>133</v>
      </c>
      <c r="B178" t="s">
        <v>111</v>
      </c>
      <c r="C178" t="s">
        <v>32</v>
      </c>
      <c r="D178" s="1">
        <v>0.70833333333333337</v>
      </c>
      <c r="E178" s="1">
        <v>0.95833333333333337</v>
      </c>
      <c r="F178">
        <v>27.22</v>
      </c>
      <c r="G178">
        <v>163.32</v>
      </c>
      <c r="H178">
        <v>6</v>
      </c>
      <c r="I178">
        <v>211</v>
      </c>
      <c r="J178" t="s">
        <v>15</v>
      </c>
      <c r="K178" t="s">
        <v>29</v>
      </c>
      <c r="L178" t="s">
        <v>47</v>
      </c>
      <c r="M178" s="44" t="str">
        <f t="shared" si="2"/>
        <v>6 hr |</v>
      </c>
    </row>
    <row r="179" spans="1:13" x14ac:dyDescent="0.25">
      <c r="A179" t="s">
        <v>133</v>
      </c>
      <c r="B179" t="s">
        <v>108</v>
      </c>
      <c r="C179" t="s">
        <v>46</v>
      </c>
      <c r="D179" s="1">
        <v>0.70833333333333337</v>
      </c>
      <c r="E179" s="1">
        <v>0.95833333333333337</v>
      </c>
      <c r="F179">
        <v>26.88</v>
      </c>
      <c r="G179">
        <v>161.28</v>
      </c>
      <c r="H179">
        <v>6</v>
      </c>
      <c r="I179">
        <v>401</v>
      </c>
      <c r="J179" t="s">
        <v>15</v>
      </c>
      <c r="K179" t="s">
        <v>42</v>
      </c>
      <c r="L179" t="s">
        <v>47</v>
      </c>
      <c r="M179" s="44" t="str">
        <f t="shared" si="2"/>
        <v>6 hr |</v>
      </c>
    </row>
    <row r="180" spans="1:13" x14ac:dyDescent="0.25">
      <c r="A180" t="s">
        <v>133</v>
      </c>
      <c r="B180" t="s">
        <v>108</v>
      </c>
      <c r="C180" t="s">
        <v>46</v>
      </c>
      <c r="D180" s="1">
        <v>0.70833333333333337</v>
      </c>
      <c r="E180" s="1">
        <v>0.95833333333333337</v>
      </c>
      <c r="F180">
        <v>26.88</v>
      </c>
      <c r="G180">
        <v>0</v>
      </c>
      <c r="H180">
        <v>6</v>
      </c>
      <c r="I180">
        <v>411</v>
      </c>
      <c r="J180" t="s">
        <v>15</v>
      </c>
      <c r="K180" t="s">
        <v>42</v>
      </c>
      <c r="L180" t="s">
        <v>47</v>
      </c>
      <c r="M180" s="44" t="str">
        <f t="shared" si="2"/>
        <v>6 hr |</v>
      </c>
    </row>
    <row r="181" spans="1:13" x14ac:dyDescent="0.25">
      <c r="A181" t="s">
        <v>133</v>
      </c>
      <c r="B181" t="s">
        <v>131</v>
      </c>
      <c r="C181" t="s">
        <v>14</v>
      </c>
      <c r="D181" s="1">
        <v>0.91666666666666663</v>
      </c>
      <c r="E181" s="1">
        <v>0.29166666666666669</v>
      </c>
      <c r="F181">
        <v>30.5</v>
      </c>
      <c r="G181">
        <v>274.5</v>
      </c>
      <c r="H181">
        <v>9</v>
      </c>
      <c r="J181" t="s">
        <v>15</v>
      </c>
      <c r="K181" t="s">
        <v>138</v>
      </c>
      <c r="L181" t="s">
        <v>17</v>
      </c>
      <c r="M181" s="44" t="str">
        <f t="shared" si="2"/>
        <v>9 hr |</v>
      </c>
    </row>
    <row r="182" spans="1:13" x14ac:dyDescent="0.25">
      <c r="A182" t="s">
        <v>133</v>
      </c>
      <c r="B182" t="s">
        <v>79</v>
      </c>
      <c r="C182" t="s">
        <v>75</v>
      </c>
      <c r="D182" s="1">
        <v>0.95833333333333337</v>
      </c>
      <c r="E182" s="1">
        <v>0.375</v>
      </c>
      <c r="F182">
        <v>27.22</v>
      </c>
      <c r="G182">
        <v>272.2</v>
      </c>
      <c r="H182">
        <v>10</v>
      </c>
      <c r="K182" t="s">
        <v>94</v>
      </c>
      <c r="L182" t="s">
        <v>37</v>
      </c>
      <c r="M182" s="44" t="str">
        <f t="shared" si="2"/>
        <v>10 hr |</v>
      </c>
    </row>
    <row r="183" spans="1:13" x14ac:dyDescent="0.25">
      <c r="A183" t="s">
        <v>133</v>
      </c>
      <c r="B183" t="s">
        <v>139</v>
      </c>
      <c r="C183" t="s">
        <v>44</v>
      </c>
      <c r="D183" s="1">
        <v>0.95833333333333337</v>
      </c>
      <c r="E183" s="1">
        <v>0.375</v>
      </c>
      <c r="F183">
        <v>163.1</v>
      </c>
      <c r="G183">
        <v>244.76</v>
      </c>
      <c r="H183">
        <v>10</v>
      </c>
      <c r="J183" t="s">
        <v>88</v>
      </c>
      <c r="K183" t="s">
        <v>140</v>
      </c>
      <c r="L183" t="s">
        <v>17</v>
      </c>
      <c r="M183" s="44" t="str">
        <f t="shared" si="2"/>
        <v>shift | 02 - HOURLY-MEDS: 3 hr |</v>
      </c>
    </row>
    <row r="184" spans="1:13" x14ac:dyDescent="0.25">
      <c r="A184" t="s">
        <v>133</v>
      </c>
      <c r="B184" t="s">
        <v>134</v>
      </c>
      <c r="C184" t="s">
        <v>59</v>
      </c>
      <c r="D184" s="1">
        <v>0.95833333333333337</v>
      </c>
      <c r="E184" s="1">
        <v>0.375</v>
      </c>
      <c r="F184">
        <v>163.1</v>
      </c>
      <c r="G184">
        <v>243.74</v>
      </c>
      <c r="H184">
        <v>10</v>
      </c>
      <c r="J184" t="s">
        <v>15</v>
      </c>
      <c r="K184" t="s">
        <v>89</v>
      </c>
      <c r="L184" t="s">
        <v>57</v>
      </c>
      <c r="M184" s="44" t="str">
        <f t="shared" si="2"/>
        <v>shift | 02 - HOURLY: 3 hr |</v>
      </c>
    </row>
    <row r="185" spans="1:13" x14ac:dyDescent="0.25">
      <c r="A185" t="s">
        <v>133</v>
      </c>
      <c r="B185" t="s">
        <v>141</v>
      </c>
      <c r="C185" t="s">
        <v>32</v>
      </c>
      <c r="D185" s="1">
        <v>0.95833333333333337</v>
      </c>
      <c r="E185" s="1">
        <v>0.375</v>
      </c>
      <c r="F185">
        <v>163.1</v>
      </c>
      <c r="G185">
        <v>244.76</v>
      </c>
      <c r="H185">
        <v>10</v>
      </c>
      <c r="I185" t="s">
        <v>142</v>
      </c>
      <c r="J185" t="s">
        <v>88</v>
      </c>
      <c r="K185" t="s">
        <v>140</v>
      </c>
      <c r="L185" t="s">
        <v>17</v>
      </c>
      <c r="M185" s="44" t="str">
        <f t="shared" si="2"/>
        <v>shift | 02 - HOURLY-MEDS: 3 hr |</v>
      </c>
    </row>
    <row r="186" spans="1:13" x14ac:dyDescent="0.25">
      <c r="A186" t="s">
        <v>133</v>
      </c>
      <c r="B186" t="s">
        <v>61</v>
      </c>
      <c r="C186" t="s">
        <v>32</v>
      </c>
      <c r="D186" s="1">
        <v>0.95833333333333337</v>
      </c>
      <c r="E186" s="1">
        <v>0.375</v>
      </c>
      <c r="F186">
        <v>27.22</v>
      </c>
      <c r="G186">
        <v>272.2</v>
      </c>
      <c r="H186">
        <v>10</v>
      </c>
      <c r="I186">
        <v>214</v>
      </c>
      <c r="J186" t="s">
        <v>15</v>
      </c>
      <c r="K186" t="s">
        <v>94</v>
      </c>
      <c r="L186" t="s">
        <v>17</v>
      </c>
      <c r="M186" s="44" t="str">
        <f t="shared" si="2"/>
        <v>10 hr |</v>
      </c>
    </row>
    <row r="187" spans="1:13" x14ac:dyDescent="0.25">
      <c r="A187" t="s">
        <v>133</v>
      </c>
      <c r="B187" t="s">
        <v>112</v>
      </c>
      <c r="C187" t="s">
        <v>32</v>
      </c>
      <c r="D187" s="1">
        <v>0.95833333333333337</v>
      </c>
      <c r="E187" s="1">
        <v>0.375</v>
      </c>
      <c r="F187">
        <v>27.22</v>
      </c>
      <c r="G187">
        <v>272.2</v>
      </c>
      <c r="H187">
        <v>10</v>
      </c>
      <c r="I187">
        <v>318</v>
      </c>
      <c r="J187" t="s">
        <v>15</v>
      </c>
      <c r="K187" t="s">
        <v>94</v>
      </c>
      <c r="L187" t="s">
        <v>17</v>
      </c>
      <c r="M187" s="44" t="str">
        <f t="shared" si="2"/>
        <v>10 hr |</v>
      </c>
    </row>
    <row r="188" spans="1:13" x14ac:dyDescent="0.25">
      <c r="A188" t="s">
        <v>133</v>
      </c>
      <c r="B188" t="s">
        <v>113</v>
      </c>
      <c r="C188" t="s">
        <v>32</v>
      </c>
      <c r="D188" s="1">
        <v>0.95833333333333337</v>
      </c>
      <c r="E188" s="1">
        <v>0.375</v>
      </c>
      <c r="F188">
        <v>27.22</v>
      </c>
      <c r="G188">
        <v>272.2</v>
      </c>
      <c r="H188">
        <v>10</v>
      </c>
      <c r="I188" t="s">
        <v>123</v>
      </c>
      <c r="J188" t="s">
        <v>15</v>
      </c>
      <c r="K188" t="s">
        <v>94</v>
      </c>
      <c r="L188" t="s">
        <v>17</v>
      </c>
      <c r="M188" s="44" t="str">
        <f t="shared" si="2"/>
        <v>10 hr |</v>
      </c>
    </row>
    <row r="189" spans="1:13" x14ac:dyDescent="0.25">
      <c r="A189" t="s">
        <v>133</v>
      </c>
      <c r="B189" t="s">
        <v>31</v>
      </c>
      <c r="C189" t="s">
        <v>32</v>
      </c>
      <c r="D189" s="1">
        <v>0.95833333333333337</v>
      </c>
      <c r="E189" s="1">
        <v>0.375</v>
      </c>
      <c r="F189">
        <v>27.22</v>
      </c>
      <c r="G189">
        <v>272.2</v>
      </c>
      <c r="H189">
        <v>10</v>
      </c>
      <c r="I189">
        <v>218</v>
      </c>
      <c r="J189" t="s">
        <v>15</v>
      </c>
      <c r="K189" t="s">
        <v>94</v>
      </c>
      <c r="L189" t="s">
        <v>17</v>
      </c>
      <c r="M189" s="44" t="str">
        <f t="shared" si="2"/>
        <v>10 hr |</v>
      </c>
    </row>
    <row r="190" spans="1:13" x14ac:dyDescent="0.25">
      <c r="A190" t="s">
        <v>133</v>
      </c>
      <c r="B190" t="s">
        <v>66</v>
      </c>
      <c r="C190" t="s">
        <v>46</v>
      </c>
      <c r="D190" s="1">
        <v>0.95833333333333337</v>
      </c>
      <c r="E190" s="1">
        <v>0.375</v>
      </c>
      <c r="F190">
        <v>26.88</v>
      </c>
      <c r="G190">
        <v>268.8</v>
      </c>
      <c r="H190">
        <v>10</v>
      </c>
      <c r="I190">
        <v>318</v>
      </c>
      <c r="J190" t="s">
        <v>15</v>
      </c>
      <c r="K190" t="s">
        <v>97</v>
      </c>
      <c r="L190" t="s">
        <v>47</v>
      </c>
      <c r="M190" s="44" t="str">
        <f t="shared" si="2"/>
        <v>10 hr |</v>
      </c>
    </row>
    <row r="191" spans="1:13" x14ac:dyDescent="0.25">
      <c r="A191" t="s">
        <v>133</v>
      </c>
      <c r="B191" t="s">
        <v>95</v>
      </c>
      <c r="C191" t="s">
        <v>46</v>
      </c>
      <c r="D191" s="1">
        <v>0.95833333333333337</v>
      </c>
      <c r="E191" s="1">
        <v>0.375</v>
      </c>
      <c r="F191">
        <v>26.88</v>
      </c>
      <c r="G191">
        <v>268.8</v>
      </c>
      <c r="H191">
        <v>10</v>
      </c>
      <c r="I191" t="s">
        <v>99</v>
      </c>
      <c r="J191" t="s">
        <v>15</v>
      </c>
      <c r="K191" t="s">
        <v>97</v>
      </c>
      <c r="L191" t="s">
        <v>17</v>
      </c>
      <c r="M191" s="44" t="str">
        <f t="shared" si="2"/>
        <v>10 hr |</v>
      </c>
    </row>
    <row r="192" spans="1:13" x14ac:dyDescent="0.25">
      <c r="A192" t="s">
        <v>133</v>
      </c>
      <c r="B192" t="s">
        <v>111</v>
      </c>
      <c r="C192" t="s">
        <v>32</v>
      </c>
      <c r="D192" s="1">
        <v>0.95833333333333337</v>
      </c>
      <c r="E192" s="1">
        <v>0.375</v>
      </c>
      <c r="F192">
        <v>27.22</v>
      </c>
      <c r="G192">
        <v>0</v>
      </c>
      <c r="H192">
        <v>10</v>
      </c>
      <c r="I192">
        <v>211</v>
      </c>
      <c r="J192" t="s">
        <v>15</v>
      </c>
      <c r="K192" t="s">
        <v>94</v>
      </c>
      <c r="L192" t="s">
        <v>17</v>
      </c>
      <c r="M192" s="44" t="str">
        <f t="shared" si="2"/>
        <v>10 hr |</v>
      </c>
    </row>
    <row r="193" spans="1:13" x14ac:dyDescent="0.25">
      <c r="A193" t="s">
        <v>143</v>
      </c>
      <c r="B193" t="s">
        <v>82</v>
      </c>
      <c r="C193" t="s">
        <v>75</v>
      </c>
      <c r="D193" s="1">
        <v>0.25</v>
      </c>
      <c r="E193" s="1">
        <v>0.625</v>
      </c>
      <c r="F193">
        <v>27.22</v>
      </c>
      <c r="G193">
        <v>244.98</v>
      </c>
      <c r="H193">
        <v>9</v>
      </c>
      <c r="K193" t="s">
        <v>144</v>
      </c>
      <c r="L193" t="s">
        <v>37</v>
      </c>
      <c r="M193" s="44" t="str">
        <f t="shared" si="2"/>
        <v>9 hr |</v>
      </c>
    </row>
    <row r="194" spans="1:13" x14ac:dyDescent="0.25">
      <c r="A194" t="s">
        <v>143</v>
      </c>
      <c r="B194" t="s">
        <v>45</v>
      </c>
      <c r="C194" t="s">
        <v>46</v>
      </c>
      <c r="D194" s="1">
        <v>0.25</v>
      </c>
      <c r="E194" s="1">
        <v>0.41666666666666669</v>
      </c>
      <c r="F194">
        <v>27.22</v>
      </c>
      <c r="G194">
        <v>108.88</v>
      </c>
      <c r="H194">
        <v>4</v>
      </c>
      <c r="I194">
        <v>504</v>
      </c>
      <c r="J194" t="s">
        <v>15</v>
      </c>
      <c r="K194" t="s">
        <v>68</v>
      </c>
      <c r="L194" t="s">
        <v>17</v>
      </c>
      <c r="M194" s="44" t="str">
        <f t="shared" si="2"/>
        <v>4 hr |</v>
      </c>
    </row>
    <row r="195" spans="1:13" x14ac:dyDescent="0.25">
      <c r="A195" t="s">
        <v>143</v>
      </c>
      <c r="B195" t="s">
        <v>105</v>
      </c>
      <c r="C195" t="s">
        <v>14</v>
      </c>
      <c r="D195" s="1">
        <v>0.25</v>
      </c>
      <c r="E195" s="1">
        <v>0.41666666666666669</v>
      </c>
      <c r="F195">
        <v>30.5</v>
      </c>
      <c r="G195">
        <v>0</v>
      </c>
      <c r="H195">
        <v>4</v>
      </c>
      <c r="J195" t="s">
        <v>15</v>
      </c>
      <c r="K195" t="s">
        <v>16</v>
      </c>
      <c r="L195" t="s">
        <v>17</v>
      </c>
      <c r="M195" s="44" t="str">
        <f t="shared" ref="M195:M258" si="3">IF($K195="","",TRIM(MID($K195,FIND(":",$K195)+1,LEN($K195))))</f>
        <v>4 hr |</v>
      </c>
    </row>
    <row r="196" spans="1:13" x14ac:dyDescent="0.25">
      <c r="A196" t="s">
        <v>143</v>
      </c>
      <c r="B196" t="s">
        <v>18</v>
      </c>
      <c r="C196" t="s">
        <v>19</v>
      </c>
      <c r="D196" s="1">
        <v>0.29166666666666669</v>
      </c>
      <c r="E196" s="1">
        <v>0.45833333333333331</v>
      </c>
      <c r="F196">
        <v>29</v>
      </c>
      <c r="G196">
        <v>116</v>
      </c>
      <c r="H196">
        <v>4</v>
      </c>
      <c r="K196" t="s">
        <v>16</v>
      </c>
      <c r="L196" t="s">
        <v>17</v>
      </c>
      <c r="M196" s="44" t="str">
        <f t="shared" si="3"/>
        <v>4 hr |</v>
      </c>
    </row>
    <row r="197" spans="1:13" x14ac:dyDescent="0.25">
      <c r="A197" t="s">
        <v>143</v>
      </c>
      <c r="B197" t="s">
        <v>84</v>
      </c>
      <c r="C197" t="s">
        <v>49</v>
      </c>
      <c r="D197" s="1">
        <v>0.29166666666666669</v>
      </c>
      <c r="E197" s="1">
        <v>0.625</v>
      </c>
      <c r="F197">
        <v>26.88</v>
      </c>
      <c r="G197">
        <v>215.04</v>
      </c>
      <c r="H197">
        <v>8</v>
      </c>
      <c r="I197" t="s">
        <v>50</v>
      </c>
      <c r="K197" t="s">
        <v>20</v>
      </c>
      <c r="L197" t="s">
        <v>47</v>
      </c>
      <c r="M197" s="44" t="str">
        <f t="shared" si="3"/>
        <v>8 hr |</v>
      </c>
    </row>
    <row r="198" spans="1:13" x14ac:dyDescent="0.25">
      <c r="A198" t="s">
        <v>143</v>
      </c>
      <c r="B198" t="s">
        <v>51</v>
      </c>
      <c r="C198" t="s">
        <v>22</v>
      </c>
      <c r="D198" s="1">
        <v>0.29166666666666669</v>
      </c>
      <c r="E198" s="1">
        <v>0.625</v>
      </c>
      <c r="F198">
        <v>27.22</v>
      </c>
      <c r="G198">
        <v>217.76</v>
      </c>
      <c r="H198">
        <v>8</v>
      </c>
      <c r="K198" t="s">
        <v>52</v>
      </c>
      <c r="L198" t="s">
        <v>23</v>
      </c>
      <c r="M198" s="44" t="str">
        <f t="shared" si="3"/>
        <v>8 hr |</v>
      </c>
    </row>
    <row r="199" spans="1:13" x14ac:dyDescent="0.25">
      <c r="A199" t="s">
        <v>143</v>
      </c>
      <c r="B199" t="s">
        <v>102</v>
      </c>
      <c r="C199" t="s">
        <v>14</v>
      </c>
      <c r="D199" s="1">
        <v>0.29166666666666669</v>
      </c>
      <c r="E199" s="1">
        <v>0.625</v>
      </c>
      <c r="F199">
        <v>30.5</v>
      </c>
      <c r="G199">
        <v>244</v>
      </c>
      <c r="H199">
        <v>8</v>
      </c>
      <c r="J199" t="s">
        <v>15</v>
      </c>
      <c r="K199" t="s">
        <v>20</v>
      </c>
      <c r="L199" t="s">
        <v>17</v>
      </c>
      <c r="M199" s="44" t="str">
        <f t="shared" si="3"/>
        <v>8 hr |</v>
      </c>
    </row>
    <row r="200" spans="1:13" x14ac:dyDescent="0.25">
      <c r="A200" t="s">
        <v>143</v>
      </c>
      <c r="B200" t="s">
        <v>145</v>
      </c>
      <c r="C200" t="s">
        <v>78</v>
      </c>
      <c r="D200" s="1">
        <v>0.29166666666666669</v>
      </c>
      <c r="E200" s="1">
        <v>0.625</v>
      </c>
      <c r="F200">
        <v>35</v>
      </c>
      <c r="G200">
        <v>280</v>
      </c>
      <c r="H200">
        <v>8</v>
      </c>
      <c r="K200" t="s">
        <v>20</v>
      </c>
      <c r="L200" t="s">
        <v>57</v>
      </c>
      <c r="M200" s="44" t="str">
        <f t="shared" si="3"/>
        <v>8 hr |</v>
      </c>
    </row>
    <row r="201" spans="1:13" x14ac:dyDescent="0.25">
      <c r="A201" t="s">
        <v>143</v>
      </c>
      <c r="B201" t="s">
        <v>146</v>
      </c>
      <c r="C201" t="s">
        <v>75</v>
      </c>
      <c r="D201" s="1">
        <v>0.29166666666666669</v>
      </c>
      <c r="E201" s="1">
        <v>0.625</v>
      </c>
      <c r="F201">
        <v>27.22</v>
      </c>
      <c r="G201">
        <v>217.76</v>
      </c>
      <c r="H201">
        <v>8</v>
      </c>
      <c r="K201" t="s">
        <v>52</v>
      </c>
      <c r="L201" t="s">
        <v>37</v>
      </c>
      <c r="M201" s="44" t="str">
        <f t="shared" si="3"/>
        <v>8 hr |</v>
      </c>
    </row>
    <row r="202" spans="1:13" x14ac:dyDescent="0.25">
      <c r="A202" t="s">
        <v>143</v>
      </c>
      <c r="B202" t="s">
        <v>103</v>
      </c>
      <c r="C202" t="s">
        <v>26</v>
      </c>
      <c r="D202" s="1">
        <v>0.33333333333333331</v>
      </c>
      <c r="E202" s="1">
        <v>0.66666666666666663</v>
      </c>
      <c r="F202">
        <v>26.88</v>
      </c>
      <c r="G202">
        <v>215.04</v>
      </c>
      <c r="H202">
        <v>8</v>
      </c>
      <c r="J202" t="s">
        <v>15</v>
      </c>
      <c r="K202" t="s">
        <v>20</v>
      </c>
      <c r="L202" t="s">
        <v>23</v>
      </c>
      <c r="M202" s="44" t="str">
        <f t="shared" si="3"/>
        <v>8 hr |</v>
      </c>
    </row>
    <row r="203" spans="1:13" x14ac:dyDescent="0.25">
      <c r="A203" t="s">
        <v>143</v>
      </c>
      <c r="B203" t="s">
        <v>34</v>
      </c>
      <c r="C203" t="s">
        <v>35</v>
      </c>
      <c r="D203" s="1">
        <v>0.35416666666666669</v>
      </c>
      <c r="E203" s="1">
        <v>0.66666666666666663</v>
      </c>
      <c r="F203">
        <v>27.22</v>
      </c>
      <c r="G203">
        <v>204.15</v>
      </c>
      <c r="H203">
        <v>7.5</v>
      </c>
      <c r="J203" t="s">
        <v>15</v>
      </c>
      <c r="K203" t="s">
        <v>36</v>
      </c>
      <c r="L203" t="s">
        <v>37</v>
      </c>
      <c r="M203" s="44" t="str">
        <f t="shared" si="3"/>
        <v>7.5 hr |</v>
      </c>
    </row>
    <row r="204" spans="1:13" x14ac:dyDescent="0.25">
      <c r="A204" t="s">
        <v>143</v>
      </c>
      <c r="B204" t="s">
        <v>81</v>
      </c>
      <c r="C204" t="s">
        <v>35</v>
      </c>
      <c r="D204" s="1">
        <v>0.35416666666666669</v>
      </c>
      <c r="E204" s="1">
        <v>0.66666666666666663</v>
      </c>
      <c r="F204">
        <v>26.88</v>
      </c>
      <c r="G204">
        <v>201.6</v>
      </c>
      <c r="H204">
        <v>7.5</v>
      </c>
      <c r="J204" t="s">
        <v>15</v>
      </c>
      <c r="K204" t="s">
        <v>39</v>
      </c>
      <c r="L204" t="s">
        <v>37</v>
      </c>
      <c r="M204" s="44" t="str">
        <f t="shared" si="3"/>
        <v>7.5 hr |</v>
      </c>
    </row>
    <row r="205" spans="1:13" x14ac:dyDescent="0.25">
      <c r="A205" t="s">
        <v>143</v>
      </c>
      <c r="B205" t="s">
        <v>38</v>
      </c>
      <c r="C205" t="s">
        <v>35</v>
      </c>
      <c r="D205" s="1">
        <v>0.35416666666666669</v>
      </c>
      <c r="E205" s="1">
        <v>0.625</v>
      </c>
      <c r="F205">
        <v>26.88</v>
      </c>
      <c r="G205">
        <v>174.72</v>
      </c>
      <c r="H205">
        <v>6.5</v>
      </c>
      <c r="J205" t="s">
        <v>15</v>
      </c>
      <c r="K205" t="s">
        <v>104</v>
      </c>
      <c r="L205" t="s">
        <v>37</v>
      </c>
      <c r="M205" s="44" t="str">
        <f t="shared" si="3"/>
        <v>6.5 hr |</v>
      </c>
    </row>
    <row r="206" spans="1:13" x14ac:dyDescent="0.25">
      <c r="A206" t="s">
        <v>143</v>
      </c>
      <c r="B206" t="s">
        <v>105</v>
      </c>
      <c r="C206" t="s">
        <v>35</v>
      </c>
      <c r="D206" s="1">
        <v>0.35416666666666669</v>
      </c>
      <c r="E206" s="1">
        <v>0.625</v>
      </c>
      <c r="F206">
        <v>26.88</v>
      </c>
      <c r="G206">
        <v>0</v>
      </c>
      <c r="H206">
        <v>6.5</v>
      </c>
      <c r="J206" t="s">
        <v>15</v>
      </c>
      <c r="K206" t="s">
        <v>106</v>
      </c>
      <c r="L206" t="s">
        <v>37</v>
      </c>
      <c r="M206" s="44" t="str">
        <f t="shared" si="3"/>
        <v>0 hr |</v>
      </c>
    </row>
    <row r="207" spans="1:13" x14ac:dyDescent="0.25">
      <c r="A207" t="s">
        <v>143</v>
      </c>
      <c r="B207" t="s">
        <v>105</v>
      </c>
      <c r="C207" t="s">
        <v>35</v>
      </c>
      <c r="D207" s="1">
        <v>0.35416666666666669</v>
      </c>
      <c r="E207" s="1">
        <v>0.625</v>
      </c>
      <c r="F207">
        <v>26.88</v>
      </c>
      <c r="G207">
        <v>0</v>
      </c>
      <c r="H207">
        <v>6.5</v>
      </c>
      <c r="J207" t="s">
        <v>15</v>
      </c>
      <c r="K207" t="s">
        <v>106</v>
      </c>
      <c r="L207" t="s">
        <v>37</v>
      </c>
      <c r="M207" s="44" t="str">
        <f t="shared" si="3"/>
        <v>0 hr |</v>
      </c>
    </row>
    <row r="208" spans="1:13" x14ac:dyDescent="0.25">
      <c r="A208" t="s">
        <v>143</v>
      </c>
      <c r="B208" t="s">
        <v>105</v>
      </c>
      <c r="C208" t="s">
        <v>35</v>
      </c>
      <c r="D208" s="1">
        <v>0.35416666666666669</v>
      </c>
      <c r="E208" s="1">
        <v>0.625</v>
      </c>
      <c r="F208">
        <v>26.88</v>
      </c>
      <c r="G208">
        <v>0</v>
      </c>
      <c r="H208">
        <v>6.5</v>
      </c>
      <c r="J208" t="s">
        <v>15</v>
      </c>
      <c r="K208" t="s">
        <v>106</v>
      </c>
      <c r="L208" t="s">
        <v>37</v>
      </c>
      <c r="M208" s="44" t="str">
        <f t="shared" si="3"/>
        <v>0 hr |</v>
      </c>
    </row>
    <row r="209" spans="1:13" x14ac:dyDescent="0.25">
      <c r="A209" t="s">
        <v>143</v>
      </c>
      <c r="B209" t="s">
        <v>136</v>
      </c>
      <c r="C209" t="s">
        <v>46</v>
      </c>
      <c r="D209" s="1">
        <v>0.375</v>
      </c>
      <c r="E209" s="1">
        <v>0.70833333333333337</v>
      </c>
      <c r="F209">
        <v>26.88</v>
      </c>
      <c r="G209">
        <v>215.04</v>
      </c>
      <c r="H209">
        <v>8</v>
      </c>
      <c r="I209">
        <v>411</v>
      </c>
      <c r="J209" t="s">
        <v>15</v>
      </c>
      <c r="K209" t="s">
        <v>20</v>
      </c>
      <c r="L209" t="s">
        <v>47</v>
      </c>
      <c r="M209" s="44" t="str">
        <f t="shared" si="3"/>
        <v>8 hr |</v>
      </c>
    </row>
    <row r="210" spans="1:13" x14ac:dyDescent="0.25">
      <c r="A210" t="s">
        <v>143</v>
      </c>
      <c r="B210" t="s">
        <v>48</v>
      </c>
      <c r="C210" t="s">
        <v>49</v>
      </c>
      <c r="D210" s="1">
        <v>0.375</v>
      </c>
      <c r="E210" s="1">
        <v>0.70833333333333337</v>
      </c>
      <c r="F210">
        <v>26.88</v>
      </c>
      <c r="G210">
        <v>215.04</v>
      </c>
      <c r="H210">
        <v>8</v>
      </c>
      <c r="I210" t="s">
        <v>50</v>
      </c>
      <c r="K210" t="s">
        <v>20</v>
      </c>
      <c r="L210" t="s">
        <v>47</v>
      </c>
      <c r="M210" s="44" t="str">
        <f t="shared" si="3"/>
        <v>8 hr |</v>
      </c>
    </row>
    <row r="211" spans="1:13" x14ac:dyDescent="0.25">
      <c r="A211" t="s">
        <v>143</v>
      </c>
      <c r="B211" t="s">
        <v>54</v>
      </c>
      <c r="C211" t="s">
        <v>55</v>
      </c>
      <c r="D211" s="1">
        <v>0.375</v>
      </c>
      <c r="E211" s="1">
        <v>0.58333333333333337</v>
      </c>
      <c r="F211">
        <v>26.88</v>
      </c>
      <c r="G211">
        <v>134.4</v>
      </c>
      <c r="H211">
        <v>5</v>
      </c>
      <c r="K211" t="s">
        <v>87</v>
      </c>
      <c r="L211" t="s">
        <v>57</v>
      </c>
      <c r="M211" s="44" t="str">
        <f t="shared" si="3"/>
        <v>5 hr |</v>
      </c>
    </row>
    <row r="212" spans="1:13" x14ac:dyDescent="0.25">
      <c r="A212" t="s">
        <v>143</v>
      </c>
      <c r="B212" t="s">
        <v>108</v>
      </c>
      <c r="C212" t="s">
        <v>46</v>
      </c>
      <c r="D212" s="1">
        <v>0.375</v>
      </c>
      <c r="E212" s="1">
        <v>0.625</v>
      </c>
      <c r="F212">
        <v>26.88</v>
      </c>
      <c r="G212">
        <v>161.28</v>
      </c>
      <c r="H212">
        <v>6</v>
      </c>
      <c r="I212">
        <v>518</v>
      </c>
      <c r="J212" t="s">
        <v>15</v>
      </c>
      <c r="K212" t="s">
        <v>42</v>
      </c>
      <c r="L212" t="s">
        <v>17</v>
      </c>
      <c r="M212" s="44" t="str">
        <f t="shared" si="3"/>
        <v>6 hr |</v>
      </c>
    </row>
    <row r="213" spans="1:13" x14ac:dyDescent="0.25">
      <c r="A213" t="s">
        <v>143</v>
      </c>
      <c r="B213" t="s">
        <v>98</v>
      </c>
      <c r="C213" t="s">
        <v>46</v>
      </c>
      <c r="D213" s="1">
        <v>0.375</v>
      </c>
      <c r="E213" s="1">
        <v>0.70833333333333337</v>
      </c>
      <c r="F213">
        <v>27.22</v>
      </c>
      <c r="G213">
        <v>217.76</v>
      </c>
      <c r="H213">
        <v>8</v>
      </c>
      <c r="I213">
        <v>401</v>
      </c>
      <c r="J213" t="s">
        <v>15</v>
      </c>
      <c r="K213" t="s">
        <v>52</v>
      </c>
      <c r="L213" t="s">
        <v>47</v>
      </c>
      <c r="M213" s="44" t="str">
        <f t="shared" si="3"/>
        <v>8 hr |</v>
      </c>
    </row>
    <row r="214" spans="1:13" x14ac:dyDescent="0.25">
      <c r="A214" t="s">
        <v>143</v>
      </c>
      <c r="B214" t="s">
        <v>24</v>
      </c>
      <c r="C214" t="s">
        <v>22</v>
      </c>
      <c r="D214" s="1">
        <v>0.375</v>
      </c>
      <c r="E214" s="1">
        <v>0.625</v>
      </c>
      <c r="F214">
        <v>26.88</v>
      </c>
      <c r="G214">
        <v>161.28</v>
      </c>
      <c r="H214">
        <v>6</v>
      </c>
      <c r="K214" t="s">
        <v>42</v>
      </c>
      <c r="L214" t="s">
        <v>23</v>
      </c>
      <c r="M214" s="44" t="str">
        <f t="shared" si="3"/>
        <v>6 hr |</v>
      </c>
    </row>
    <row r="215" spans="1:13" x14ac:dyDescent="0.25">
      <c r="A215" t="s">
        <v>143</v>
      </c>
      <c r="B215" t="s">
        <v>62</v>
      </c>
      <c r="C215" t="s">
        <v>46</v>
      </c>
      <c r="D215" s="1">
        <v>0.375</v>
      </c>
      <c r="E215" s="1">
        <v>0.70833333333333337</v>
      </c>
      <c r="F215">
        <v>27.22</v>
      </c>
      <c r="G215">
        <v>217.76</v>
      </c>
      <c r="H215">
        <v>8</v>
      </c>
      <c r="I215">
        <v>605</v>
      </c>
      <c r="J215" t="s">
        <v>15</v>
      </c>
      <c r="K215" t="s">
        <v>52</v>
      </c>
      <c r="L215" t="s">
        <v>47</v>
      </c>
      <c r="M215" s="44" t="str">
        <f t="shared" si="3"/>
        <v>8 hr |</v>
      </c>
    </row>
    <row r="216" spans="1:13" x14ac:dyDescent="0.25">
      <c r="A216" t="s">
        <v>143</v>
      </c>
      <c r="B216" t="s">
        <v>67</v>
      </c>
      <c r="C216" t="s">
        <v>22</v>
      </c>
      <c r="D216" s="1">
        <v>0.41666666666666669</v>
      </c>
      <c r="E216" s="1">
        <v>0.58333333333333337</v>
      </c>
      <c r="F216">
        <v>27.22</v>
      </c>
      <c r="G216">
        <v>108.88</v>
      </c>
      <c r="H216">
        <v>4</v>
      </c>
      <c r="K216" t="s">
        <v>68</v>
      </c>
      <c r="L216" t="s">
        <v>23</v>
      </c>
      <c r="M216" s="44" t="str">
        <f t="shared" si="3"/>
        <v>4 hr |</v>
      </c>
    </row>
    <row r="217" spans="1:13" x14ac:dyDescent="0.25">
      <c r="A217" t="s">
        <v>143</v>
      </c>
      <c r="B217" t="s">
        <v>69</v>
      </c>
      <c r="C217" t="s">
        <v>70</v>
      </c>
      <c r="D217" s="1">
        <v>0.41666666666666669</v>
      </c>
      <c r="E217" s="1">
        <v>0.58333333333333337</v>
      </c>
      <c r="F217">
        <v>30.5</v>
      </c>
      <c r="G217">
        <v>122</v>
      </c>
      <c r="H217">
        <v>4</v>
      </c>
      <c r="K217" t="s">
        <v>16</v>
      </c>
      <c r="L217" t="s">
        <v>57</v>
      </c>
      <c r="M217" s="44" t="str">
        <f t="shared" si="3"/>
        <v>4 hr |</v>
      </c>
    </row>
    <row r="218" spans="1:13" x14ac:dyDescent="0.25">
      <c r="A218" t="s">
        <v>143</v>
      </c>
      <c r="B218" t="s">
        <v>71</v>
      </c>
      <c r="C218" t="s">
        <v>70</v>
      </c>
      <c r="D218" s="1">
        <v>0.41666666666666669</v>
      </c>
      <c r="E218" s="1">
        <v>0.58333333333333337</v>
      </c>
      <c r="F218">
        <v>30.5</v>
      </c>
      <c r="G218">
        <v>122</v>
      </c>
      <c r="H218">
        <v>4</v>
      </c>
      <c r="K218" t="s">
        <v>16</v>
      </c>
      <c r="L218" t="s">
        <v>23</v>
      </c>
      <c r="M218" s="44" t="str">
        <f t="shared" si="3"/>
        <v>4 hr |</v>
      </c>
    </row>
    <row r="219" spans="1:13" x14ac:dyDescent="0.25">
      <c r="A219" t="s">
        <v>143</v>
      </c>
      <c r="B219" t="s">
        <v>71</v>
      </c>
      <c r="C219" t="s">
        <v>70</v>
      </c>
      <c r="D219" s="1">
        <v>0.41666666666666669</v>
      </c>
      <c r="E219" s="1">
        <v>0.58333333333333337</v>
      </c>
      <c r="F219">
        <v>30.5</v>
      </c>
      <c r="G219">
        <v>0</v>
      </c>
      <c r="H219">
        <v>4</v>
      </c>
      <c r="K219" t="s">
        <v>16</v>
      </c>
      <c r="L219" t="s">
        <v>57</v>
      </c>
      <c r="M219" s="44" t="str">
        <f t="shared" si="3"/>
        <v>4 hr |</v>
      </c>
    </row>
    <row r="220" spans="1:13" x14ac:dyDescent="0.25">
      <c r="A220" t="s">
        <v>143</v>
      </c>
      <c r="B220" t="s">
        <v>71</v>
      </c>
      <c r="C220" t="s">
        <v>70</v>
      </c>
      <c r="D220" s="1">
        <v>0.41666666666666669</v>
      </c>
      <c r="E220" s="1">
        <v>0.58333333333333337</v>
      </c>
      <c r="F220">
        <v>30.5</v>
      </c>
      <c r="G220">
        <v>0</v>
      </c>
      <c r="H220">
        <v>4</v>
      </c>
      <c r="K220" t="s">
        <v>106</v>
      </c>
      <c r="L220" t="s">
        <v>57</v>
      </c>
      <c r="M220" s="44" t="str">
        <f t="shared" si="3"/>
        <v>0 hr |</v>
      </c>
    </row>
    <row r="221" spans="1:13" x14ac:dyDescent="0.25">
      <c r="A221" t="s">
        <v>143</v>
      </c>
      <c r="B221" t="s">
        <v>83</v>
      </c>
      <c r="C221" t="s">
        <v>73</v>
      </c>
      <c r="D221" s="1">
        <v>0.45833333333333331</v>
      </c>
      <c r="E221" s="1">
        <v>0.625</v>
      </c>
      <c r="F221">
        <v>22</v>
      </c>
      <c r="G221">
        <v>88</v>
      </c>
      <c r="H221">
        <v>4</v>
      </c>
      <c r="K221" t="s">
        <v>68</v>
      </c>
      <c r="L221" t="s">
        <v>47</v>
      </c>
      <c r="M221" s="44" t="str">
        <f t="shared" si="3"/>
        <v>4 hr |</v>
      </c>
    </row>
    <row r="222" spans="1:13" x14ac:dyDescent="0.25">
      <c r="A222" t="s">
        <v>143</v>
      </c>
      <c r="B222" t="s">
        <v>93</v>
      </c>
      <c r="C222" t="s">
        <v>75</v>
      </c>
      <c r="D222" s="1">
        <v>0.625</v>
      </c>
      <c r="E222" s="1">
        <v>0.95833333333333337</v>
      </c>
      <c r="F222">
        <v>27.22</v>
      </c>
      <c r="G222">
        <v>217.76</v>
      </c>
      <c r="H222">
        <v>8</v>
      </c>
      <c r="K222" t="s">
        <v>52</v>
      </c>
      <c r="L222" t="s">
        <v>37</v>
      </c>
      <c r="M222" s="44" t="str">
        <f t="shared" si="3"/>
        <v>8 hr |</v>
      </c>
    </row>
    <row r="223" spans="1:13" x14ac:dyDescent="0.25">
      <c r="A223" t="s">
        <v>143</v>
      </c>
      <c r="B223" t="s">
        <v>58</v>
      </c>
      <c r="C223" t="s">
        <v>75</v>
      </c>
      <c r="D223" s="1">
        <v>0.625</v>
      </c>
      <c r="E223" s="1">
        <v>0.79166666666666663</v>
      </c>
      <c r="F223">
        <v>26.88</v>
      </c>
      <c r="G223">
        <v>107.52</v>
      </c>
      <c r="H223">
        <v>4</v>
      </c>
      <c r="K223" t="s">
        <v>16</v>
      </c>
      <c r="L223" t="s">
        <v>37</v>
      </c>
      <c r="M223" s="44" t="str">
        <f t="shared" si="3"/>
        <v>4 hr |</v>
      </c>
    </row>
    <row r="224" spans="1:13" x14ac:dyDescent="0.25">
      <c r="A224" t="s">
        <v>143</v>
      </c>
      <c r="B224" t="s">
        <v>83</v>
      </c>
      <c r="C224" t="s">
        <v>46</v>
      </c>
      <c r="D224" s="1">
        <v>0.625</v>
      </c>
      <c r="E224" s="1">
        <v>0.95833333333333337</v>
      </c>
      <c r="F224">
        <v>27.22</v>
      </c>
      <c r="G224">
        <v>217.76</v>
      </c>
      <c r="H224">
        <v>8</v>
      </c>
      <c r="I224">
        <v>617</v>
      </c>
      <c r="J224" t="s">
        <v>15</v>
      </c>
      <c r="K224" t="s">
        <v>52</v>
      </c>
      <c r="L224" t="s">
        <v>17</v>
      </c>
      <c r="M224" s="44" t="str">
        <f t="shared" si="3"/>
        <v>8 hr |</v>
      </c>
    </row>
    <row r="225" spans="1:13" x14ac:dyDescent="0.25">
      <c r="A225" t="s">
        <v>143</v>
      </c>
      <c r="B225" t="s">
        <v>21</v>
      </c>
      <c r="C225" t="s">
        <v>22</v>
      </c>
      <c r="D225" s="1">
        <v>0.625</v>
      </c>
      <c r="E225" s="1">
        <v>0.95833333333333337</v>
      </c>
      <c r="F225">
        <v>26.88</v>
      </c>
      <c r="G225">
        <v>215.04</v>
      </c>
      <c r="H225">
        <v>8</v>
      </c>
      <c r="K225" t="s">
        <v>20</v>
      </c>
      <c r="L225" t="s">
        <v>23</v>
      </c>
      <c r="M225" s="44" t="str">
        <f t="shared" si="3"/>
        <v>8 hr |</v>
      </c>
    </row>
    <row r="226" spans="1:13" x14ac:dyDescent="0.25">
      <c r="A226" t="s">
        <v>143</v>
      </c>
      <c r="B226" t="s">
        <v>67</v>
      </c>
      <c r="C226" t="s">
        <v>22</v>
      </c>
      <c r="D226" s="1">
        <v>0.625</v>
      </c>
      <c r="E226" s="1">
        <v>0.95833333333333337</v>
      </c>
      <c r="F226">
        <v>27.22</v>
      </c>
      <c r="G226">
        <v>217.76</v>
      </c>
      <c r="H226">
        <v>8</v>
      </c>
      <c r="K226" t="s">
        <v>52</v>
      </c>
      <c r="L226" t="s">
        <v>23</v>
      </c>
      <c r="M226" s="44" t="str">
        <f t="shared" si="3"/>
        <v>8 hr |</v>
      </c>
    </row>
    <row r="227" spans="1:13" x14ac:dyDescent="0.25">
      <c r="A227" t="s">
        <v>143</v>
      </c>
      <c r="B227" t="s">
        <v>111</v>
      </c>
      <c r="C227" t="s">
        <v>32</v>
      </c>
      <c r="D227" s="1">
        <v>0.625</v>
      </c>
      <c r="E227" s="1">
        <v>0.95833333333333337</v>
      </c>
      <c r="F227">
        <v>27.22</v>
      </c>
      <c r="G227">
        <v>217.76</v>
      </c>
      <c r="H227">
        <v>8</v>
      </c>
      <c r="I227" t="s">
        <v>142</v>
      </c>
      <c r="J227" t="s">
        <v>15</v>
      </c>
      <c r="K227" t="s">
        <v>52</v>
      </c>
      <c r="L227" t="s">
        <v>17</v>
      </c>
      <c r="M227" s="44" t="str">
        <f t="shared" si="3"/>
        <v>8 hr |</v>
      </c>
    </row>
    <row r="228" spans="1:13" x14ac:dyDescent="0.25">
      <c r="A228" t="s">
        <v>143</v>
      </c>
      <c r="B228" t="s">
        <v>31</v>
      </c>
      <c r="C228" t="s">
        <v>32</v>
      </c>
      <c r="D228" s="1">
        <v>0.625</v>
      </c>
      <c r="E228" s="1">
        <v>0.95833333333333337</v>
      </c>
      <c r="F228">
        <v>27.22</v>
      </c>
      <c r="G228">
        <v>217.76</v>
      </c>
      <c r="H228">
        <v>8</v>
      </c>
      <c r="I228">
        <v>402</v>
      </c>
      <c r="J228" t="s">
        <v>15</v>
      </c>
      <c r="K228" t="s">
        <v>52</v>
      </c>
      <c r="L228" t="s">
        <v>17</v>
      </c>
      <c r="M228" s="44" t="str">
        <f t="shared" si="3"/>
        <v>8 hr |</v>
      </c>
    </row>
    <row r="229" spans="1:13" x14ac:dyDescent="0.25">
      <c r="A229" t="s">
        <v>143</v>
      </c>
      <c r="B229" t="s">
        <v>72</v>
      </c>
      <c r="C229" t="s">
        <v>32</v>
      </c>
      <c r="D229" s="1">
        <v>0.625</v>
      </c>
      <c r="E229" s="1">
        <v>0.95833333333333337</v>
      </c>
      <c r="F229">
        <v>27.22</v>
      </c>
      <c r="G229">
        <v>217.76</v>
      </c>
      <c r="H229">
        <v>8</v>
      </c>
      <c r="I229" t="s">
        <v>123</v>
      </c>
      <c r="J229" t="s">
        <v>15</v>
      </c>
      <c r="K229" t="s">
        <v>52</v>
      </c>
      <c r="L229" t="s">
        <v>17</v>
      </c>
      <c r="M229" s="44" t="str">
        <f t="shared" si="3"/>
        <v>8 hr |</v>
      </c>
    </row>
    <row r="230" spans="1:13" x14ac:dyDescent="0.25">
      <c r="A230" t="s">
        <v>143</v>
      </c>
      <c r="B230" t="s">
        <v>13</v>
      </c>
      <c r="C230" t="s">
        <v>14</v>
      </c>
      <c r="D230" s="1">
        <v>0.625</v>
      </c>
      <c r="E230" s="1">
        <v>0.97569444444444442</v>
      </c>
      <c r="F230">
        <v>30.5</v>
      </c>
      <c r="G230">
        <v>256.81</v>
      </c>
      <c r="H230">
        <v>8.4166666666666696</v>
      </c>
      <c r="J230" t="s">
        <v>15</v>
      </c>
      <c r="K230" t="s">
        <v>147</v>
      </c>
      <c r="L230" t="s">
        <v>47</v>
      </c>
      <c r="M230" s="44" t="str">
        <f t="shared" si="3"/>
        <v>8.42 hr |</v>
      </c>
    </row>
    <row r="231" spans="1:13" x14ac:dyDescent="0.25">
      <c r="A231" t="s">
        <v>143</v>
      </c>
      <c r="B231" t="s">
        <v>108</v>
      </c>
      <c r="C231" t="s">
        <v>46</v>
      </c>
      <c r="D231" s="1">
        <v>0.625</v>
      </c>
      <c r="E231" s="1">
        <v>0.95833333333333337</v>
      </c>
      <c r="F231">
        <v>26.88</v>
      </c>
      <c r="G231">
        <v>215.04</v>
      </c>
      <c r="H231">
        <v>8</v>
      </c>
      <c r="I231">
        <v>418</v>
      </c>
      <c r="J231" t="s">
        <v>15</v>
      </c>
      <c r="K231" t="s">
        <v>20</v>
      </c>
      <c r="L231" t="s">
        <v>47</v>
      </c>
      <c r="M231" s="44" t="str">
        <f t="shared" si="3"/>
        <v>8 hr |</v>
      </c>
    </row>
    <row r="232" spans="1:13" x14ac:dyDescent="0.25">
      <c r="A232" t="s">
        <v>143</v>
      </c>
      <c r="B232" t="s">
        <v>96</v>
      </c>
      <c r="C232" t="s">
        <v>35</v>
      </c>
      <c r="D232" s="1">
        <v>0.625</v>
      </c>
      <c r="E232" s="1">
        <v>0.95833333333333337</v>
      </c>
      <c r="F232">
        <v>26.88</v>
      </c>
      <c r="G232">
        <v>215.04</v>
      </c>
      <c r="H232">
        <v>8</v>
      </c>
      <c r="J232" t="s">
        <v>15</v>
      </c>
      <c r="K232" t="s">
        <v>20</v>
      </c>
      <c r="L232" t="s">
        <v>37</v>
      </c>
      <c r="M232" s="44" t="str">
        <f t="shared" si="3"/>
        <v>8 hr |</v>
      </c>
    </row>
    <row r="233" spans="1:13" x14ac:dyDescent="0.25">
      <c r="A233" t="s">
        <v>143</v>
      </c>
      <c r="B233" t="s">
        <v>76</v>
      </c>
      <c r="C233" t="s">
        <v>28</v>
      </c>
      <c r="D233" s="1">
        <v>0.625</v>
      </c>
      <c r="E233" s="1">
        <v>0.91666666666666663</v>
      </c>
      <c r="F233">
        <v>26.88</v>
      </c>
      <c r="G233">
        <v>0</v>
      </c>
      <c r="H233">
        <v>7</v>
      </c>
      <c r="K233" t="s">
        <v>56</v>
      </c>
      <c r="L233" t="s">
        <v>30</v>
      </c>
      <c r="M233" s="44" t="str">
        <f t="shared" si="3"/>
        <v>7 hr |</v>
      </c>
    </row>
    <row r="234" spans="1:13" x14ac:dyDescent="0.25">
      <c r="A234" t="s">
        <v>143</v>
      </c>
      <c r="B234" t="s">
        <v>148</v>
      </c>
      <c r="C234" t="s">
        <v>35</v>
      </c>
      <c r="D234" s="1">
        <v>0.66666666666666663</v>
      </c>
      <c r="E234" s="1">
        <v>0.95833333333333337</v>
      </c>
      <c r="F234">
        <v>26.88</v>
      </c>
      <c r="G234">
        <v>188.16</v>
      </c>
      <c r="H234">
        <v>7</v>
      </c>
      <c r="J234" t="s">
        <v>15</v>
      </c>
      <c r="K234" t="s">
        <v>56</v>
      </c>
      <c r="L234" t="s">
        <v>37</v>
      </c>
      <c r="M234" s="44" t="str">
        <f t="shared" si="3"/>
        <v>7 hr |</v>
      </c>
    </row>
    <row r="235" spans="1:13" x14ac:dyDescent="0.25">
      <c r="A235" t="s">
        <v>143</v>
      </c>
      <c r="B235" t="s">
        <v>149</v>
      </c>
      <c r="C235" t="s">
        <v>150</v>
      </c>
      <c r="D235" s="1">
        <v>0.66666666666666663</v>
      </c>
      <c r="E235" s="1">
        <v>0.875</v>
      </c>
      <c r="F235">
        <v>31.42</v>
      </c>
      <c r="G235">
        <v>157.1</v>
      </c>
      <c r="H235">
        <v>5</v>
      </c>
      <c r="K235" t="s">
        <v>87</v>
      </c>
      <c r="L235" t="s">
        <v>23</v>
      </c>
      <c r="M235" s="44" t="str">
        <f t="shared" si="3"/>
        <v>5 hr |</v>
      </c>
    </row>
    <row r="236" spans="1:13" x14ac:dyDescent="0.25">
      <c r="A236" t="s">
        <v>143</v>
      </c>
      <c r="B236" t="s">
        <v>105</v>
      </c>
      <c r="C236" t="s">
        <v>35</v>
      </c>
      <c r="D236" s="1">
        <v>0.66666666666666663</v>
      </c>
      <c r="E236" s="1">
        <v>0.95833333333333337</v>
      </c>
      <c r="F236">
        <v>26.88</v>
      </c>
      <c r="G236">
        <v>0</v>
      </c>
      <c r="H236">
        <v>7</v>
      </c>
      <c r="J236" t="s">
        <v>15</v>
      </c>
      <c r="K236" t="s">
        <v>106</v>
      </c>
      <c r="L236" t="s">
        <v>37</v>
      </c>
      <c r="M236" s="44" t="str">
        <f t="shared" si="3"/>
        <v>0 hr |</v>
      </c>
    </row>
    <row r="237" spans="1:13" x14ac:dyDescent="0.25">
      <c r="A237" t="s">
        <v>143</v>
      </c>
      <c r="B237" t="s">
        <v>136</v>
      </c>
      <c r="C237" t="s">
        <v>46</v>
      </c>
      <c r="D237" s="1">
        <v>0.70833333333333337</v>
      </c>
      <c r="E237" s="1">
        <v>0.95833333333333337</v>
      </c>
      <c r="F237">
        <v>26.88</v>
      </c>
      <c r="G237">
        <v>161.28</v>
      </c>
      <c r="H237">
        <v>6</v>
      </c>
      <c r="I237">
        <v>411</v>
      </c>
      <c r="J237" t="s">
        <v>15</v>
      </c>
      <c r="K237" t="s">
        <v>42</v>
      </c>
      <c r="L237" t="s">
        <v>47</v>
      </c>
      <c r="M237" s="44" t="str">
        <f t="shared" si="3"/>
        <v>6 hr |</v>
      </c>
    </row>
    <row r="238" spans="1:13" x14ac:dyDescent="0.25">
      <c r="A238" t="s">
        <v>143</v>
      </c>
      <c r="B238" t="s">
        <v>116</v>
      </c>
      <c r="C238" t="s">
        <v>49</v>
      </c>
      <c r="D238" s="1">
        <v>0.70833333333333337</v>
      </c>
      <c r="E238" s="1">
        <v>0.95833333333333337</v>
      </c>
      <c r="F238">
        <v>26.88</v>
      </c>
      <c r="G238">
        <v>161.28</v>
      </c>
      <c r="H238">
        <v>6</v>
      </c>
      <c r="I238" t="s">
        <v>50</v>
      </c>
      <c r="K238" t="s">
        <v>42</v>
      </c>
      <c r="L238" t="s">
        <v>47</v>
      </c>
      <c r="M238" s="44" t="str">
        <f t="shared" si="3"/>
        <v>6 hr |</v>
      </c>
    </row>
    <row r="239" spans="1:13" x14ac:dyDescent="0.25">
      <c r="A239" t="s">
        <v>143</v>
      </c>
      <c r="B239" t="s">
        <v>85</v>
      </c>
      <c r="C239" t="s">
        <v>49</v>
      </c>
      <c r="D239" s="1">
        <v>0.70833333333333337</v>
      </c>
      <c r="E239" s="1">
        <v>0.95833333333333337</v>
      </c>
      <c r="F239">
        <v>27.22</v>
      </c>
      <c r="G239">
        <v>163.32</v>
      </c>
      <c r="H239">
        <v>6</v>
      </c>
      <c r="I239" t="s">
        <v>50</v>
      </c>
      <c r="K239" t="s">
        <v>29</v>
      </c>
      <c r="L239" t="s">
        <v>47</v>
      </c>
      <c r="M239" s="44" t="str">
        <f t="shared" si="3"/>
        <v>6 hr |</v>
      </c>
    </row>
    <row r="240" spans="1:13" x14ac:dyDescent="0.25">
      <c r="A240" t="s">
        <v>143</v>
      </c>
      <c r="B240" t="s">
        <v>151</v>
      </c>
      <c r="C240" t="s">
        <v>46</v>
      </c>
      <c r="D240" s="1">
        <v>0.70833333333333337</v>
      </c>
      <c r="E240" s="1">
        <v>0.95833333333333337</v>
      </c>
      <c r="F240">
        <v>26.88</v>
      </c>
      <c r="G240">
        <v>161.28</v>
      </c>
      <c r="H240">
        <v>6</v>
      </c>
      <c r="I240">
        <v>218</v>
      </c>
      <c r="J240" t="s">
        <v>15</v>
      </c>
      <c r="K240" t="s">
        <v>42</v>
      </c>
      <c r="L240" t="s">
        <v>57</v>
      </c>
      <c r="M240" s="44" t="str">
        <f t="shared" si="3"/>
        <v>6 hr |</v>
      </c>
    </row>
    <row r="241" spans="1:13" x14ac:dyDescent="0.25">
      <c r="A241" t="s">
        <v>143</v>
      </c>
      <c r="B241" t="s">
        <v>98</v>
      </c>
      <c r="C241" t="s">
        <v>46</v>
      </c>
      <c r="D241" s="1">
        <v>0.70833333333333337</v>
      </c>
      <c r="E241" s="1">
        <v>0.95833333333333337</v>
      </c>
      <c r="F241">
        <v>27.22</v>
      </c>
      <c r="G241">
        <v>0</v>
      </c>
      <c r="H241">
        <v>6</v>
      </c>
      <c r="I241">
        <v>401</v>
      </c>
      <c r="J241" t="s">
        <v>15</v>
      </c>
      <c r="K241" t="s">
        <v>29</v>
      </c>
      <c r="L241" t="s">
        <v>47</v>
      </c>
      <c r="M241" s="44" t="str">
        <f t="shared" si="3"/>
        <v>6 hr |</v>
      </c>
    </row>
    <row r="242" spans="1:13" x14ac:dyDescent="0.25">
      <c r="A242" t="s">
        <v>143</v>
      </c>
      <c r="B242" t="s">
        <v>90</v>
      </c>
      <c r="C242" t="s">
        <v>22</v>
      </c>
      <c r="D242" s="1">
        <v>0.70833333333333337</v>
      </c>
      <c r="E242" s="1">
        <v>0.95833333333333337</v>
      </c>
      <c r="F242">
        <v>26.88</v>
      </c>
      <c r="G242">
        <v>0</v>
      </c>
      <c r="H242">
        <v>6</v>
      </c>
      <c r="K242" t="s">
        <v>42</v>
      </c>
      <c r="L242" t="s">
        <v>23</v>
      </c>
      <c r="M242" s="44" t="str">
        <f t="shared" si="3"/>
        <v>6 hr |</v>
      </c>
    </row>
    <row r="243" spans="1:13" x14ac:dyDescent="0.25">
      <c r="A243" t="s">
        <v>143</v>
      </c>
      <c r="B243" t="s">
        <v>66</v>
      </c>
      <c r="C243" t="s">
        <v>46</v>
      </c>
      <c r="D243" s="1">
        <v>0.95833333333333337</v>
      </c>
      <c r="E243" s="1">
        <v>0.375</v>
      </c>
      <c r="F243">
        <v>26.88</v>
      </c>
      <c r="G243">
        <v>268.8</v>
      </c>
      <c r="H243">
        <v>10</v>
      </c>
      <c r="I243">
        <v>318</v>
      </c>
      <c r="J243" t="s">
        <v>15</v>
      </c>
      <c r="K243" t="s">
        <v>97</v>
      </c>
      <c r="L243" t="s">
        <v>17</v>
      </c>
      <c r="M243" s="44" t="str">
        <f t="shared" si="3"/>
        <v>10 hr |</v>
      </c>
    </row>
    <row r="244" spans="1:13" x14ac:dyDescent="0.25">
      <c r="A244" t="s">
        <v>143</v>
      </c>
      <c r="B244" t="s">
        <v>141</v>
      </c>
      <c r="C244" t="s">
        <v>32</v>
      </c>
      <c r="D244" s="1">
        <v>0.95833333333333337</v>
      </c>
      <c r="E244" s="1">
        <v>0.375</v>
      </c>
      <c r="F244">
        <v>163.1</v>
      </c>
      <c r="G244">
        <v>244.76</v>
      </c>
      <c r="H244">
        <v>10</v>
      </c>
      <c r="I244" t="s">
        <v>142</v>
      </c>
      <c r="J244" t="s">
        <v>88</v>
      </c>
      <c r="K244" t="s">
        <v>140</v>
      </c>
      <c r="L244" t="s">
        <v>17</v>
      </c>
      <c r="M244" s="44" t="str">
        <f t="shared" si="3"/>
        <v>shift | 02 - HOURLY-MEDS: 3 hr |</v>
      </c>
    </row>
    <row r="245" spans="1:13" x14ac:dyDescent="0.25">
      <c r="A245" t="s">
        <v>143</v>
      </c>
      <c r="B245" t="s">
        <v>152</v>
      </c>
      <c r="C245" t="s">
        <v>22</v>
      </c>
      <c r="D245" s="1">
        <v>0.95833333333333337</v>
      </c>
      <c r="E245" s="1">
        <v>0.375</v>
      </c>
      <c r="F245">
        <v>27.22</v>
      </c>
      <c r="G245">
        <v>272.2</v>
      </c>
      <c r="H245">
        <v>10</v>
      </c>
      <c r="K245" t="s">
        <v>94</v>
      </c>
      <c r="L245" t="s">
        <v>23</v>
      </c>
      <c r="M245" s="44" t="str">
        <f t="shared" si="3"/>
        <v>10 hr |</v>
      </c>
    </row>
    <row r="246" spans="1:13" x14ac:dyDescent="0.25">
      <c r="A246" t="s">
        <v>143</v>
      </c>
      <c r="B246" t="s">
        <v>79</v>
      </c>
      <c r="C246" t="s">
        <v>28</v>
      </c>
      <c r="D246" s="1">
        <v>0.95833333333333337</v>
      </c>
      <c r="E246" s="1">
        <v>0.375</v>
      </c>
      <c r="F246">
        <v>27.22</v>
      </c>
      <c r="G246">
        <v>272.2</v>
      </c>
      <c r="H246">
        <v>10</v>
      </c>
      <c r="K246" t="s">
        <v>94</v>
      </c>
      <c r="L246" t="s">
        <v>47</v>
      </c>
      <c r="M246" s="44" t="str">
        <f t="shared" si="3"/>
        <v>10 hr |</v>
      </c>
    </row>
    <row r="247" spans="1:13" x14ac:dyDescent="0.25">
      <c r="A247" t="s">
        <v>143</v>
      </c>
      <c r="B247" t="s">
        <v>83</v>
      </c>
      <c r="C247" t="s">
        <v>46</v>
      </c>
      <c r="D247" s="1">
        <v>0.95833333333333337</v>
      </c>
      <c r="E247" s="1">
        <v>0.375</v>
      </c>
      <c r="F247">
        <v>27.22</v>
      </c>
      <c r="G247">
        <v>272.2</v>
      </c>
      <c r="H247">
        <v>10</v>
      </c>
      <c r="I247" t="s">
        <v>99</v>
      </c>
      <c r="J247" t="s">
        <v>15</v>
      </c>
      <c r="K247" t="s">
        <v>94</v>
      </c>
      <c r="L247" t="s">
        <v>57</v>
      </c>
      <c r="M247" s="44" t="str">
        <f t="shared" si="3"/>
        <v>10 hr |</v>
      </c>
    </row>
    <row r="248" spans="1:13" x14ac:dyDescent="0.25">
      <c r="A248" t="s">
        <v>143</v>
      </c>
      <c r="B248" t="s">
        <v>146</v>
      </c>
      <c r="C248" t="s">
        <v>32</v>
      </c>
      <c r="D248" s="1">
        <v>0.95833333333333337</v>
      </c>
      <c r="E248" s="1">
        <v>0.375</v>
      </c>
      <c r="F248">
        <v>27.22</v>
      </c>
      <c r="G248">
        <v>244.76</v>
      </c>
      <c r="H248">
        <v>10</v>
      </c>
      <c r="I248">
        <v>201</v>
      </c>
      <c r="J248" t="s">
        <v>88</v>
      </c>
      <c r="K248" t="s">
        <v>153</v>
      </c>
      <c r="L248" t="s">
        <v>17</v>
      </c>
      <c r="M248" s="44" t="str">
        <f t="shared" si="3"/>
        <v>3 hr | 02 - ONS: shift |</v>
      </c>
    </row>
    <row r="249" spans="1:13" x14ac:dyDescent="0.25">
      <c r="A249" t="s">
        <v>143</v>
      </c>
      <c r="B249" t="s">
        <v>61</v>
      </c>
      <c r="C249" t="s">
        <v>32</v>
      </c>
      <c r="D249" s="1">
        <v>0.95833333333333337</v>
      </c>
      <c r="E249" s="1">
        <v>0.375</v>
      </c>
      <c r="F249">
        <v>27.22</v>
      </c>
      <c r="G249">
        <v>0</v>
      </c>
      <c r="H249">
        <v>10</v>
      </c>
      <c r="I249">
        <v>214</v>
      </c>
      <c r="J249" t="s">
        <v>15</v>
      </c>
      <c r="K249" t="s">
        <v>94</v>
      </c>
      <c r="L249" t="s">
        <v>17</v>
      </c>
      <c r="M249" s="44" t="str">
        <f t="shared" si="3"/>
        <v>10 hr |</v>
      </c>
    </row>
    <row r="250" spans="1:13" x14ac:dyDescent="0.25">
      <c r="A250" t="s">
        <v>143</v>
      </c>
      <c r="B250" t="s">
        <v>105</v>
      </c>
      <c r="C250" t="s">
        <v>154</v>
      </c>
      <c r="D250" s="1">
        <v>0.95833333333333337</v>
      </c>
      <c r="E250" s="1">
        <v>0.375</v>
      </c>
      <c r="F250">
        <v>22</v>
      </c>
      <c r="G250">
        <v>0</v>
      </c>
      <c r="H250">
        <v>10</v>
      </c>
      <c r="K250" t="s">
        <v>106</v>
      </c>
      <c r="L250" t="s">
        <v>23</v>
      </c>
      <c r="M250" s="44" t="str">
        <f t="shared" si="3"/>
        <v>0 hr |</v>
      </c>
    </row>
    <row r="251" spans="1:13" x14ac:dyDescent="0.25">
      <c r="A251" t="s">
        <v>155</v>
      </c>
      <c r="B251" t="s">
        <v>139</v>
      </c>
      <c r="C251" t="s">
        <v>19</v>
      </c>
      <c r="D251" s="1">
        <v>0.29166666666666669</v>
      </c>
      <c r="E251" s="1">
        <v>0.45833333333333331</v>
      </c>
      <c r="F251">
        <v>29</v>
      </c>
      <c r="G251">
        <v>116</v>
      </c>
      <c r="H251">
        <v>4</v>
      </c>
      <c r="K251" t="s">
        <v>68</v>
      </c>
      <c r="L251" t="s">
        <v>17</v>
      </c>
      <c r="M251" s="44" t="str">
        <f t="shared" si="3"/>
        <v>4 hr |</v>
      </c>
    </row>
    <row r="252" spans="1:13" x14ac:dyDescent="0.25">
      <c r="A252" t="s">
        <v>155</v>
      </c>
      <c r="B252" t="s">
        <v>77</v>
      </c>
      <c r="C252" t="s">
        <v>78</v>
      </c>
      <c r="D252" s="1">
        <v>0.29166666666666669</v>
      </c>
      <c r="E252" s="1">
        <v>0.625</v>
      </c>
      <c r="F252">
        <v>35</v>
      </c>
      <c r="G252">
        <v>280</v>
      </c>
      <c r="H252">
        <v>8</v>
      </c>
      <c r="K252" t="s">
        <v>20</v>
      </c>
      <c r="L252" t="s">
        <v>57</v>
      </c>
      <c r="M252" s="44" t="str">
        <f t="shared" si="3"/>
        <v>8 hr |</v>
      </c>
    </row>
    <row r="253" spans="1:13" x14ac:dyDescent="0.25">
      <c r="A253" t="s">
        <v>155</v>
      </c>
      <c r="B253" t="s">
        <v>40</v>
      </c>
      <c r="C253" t="s">
        <v>41</v>
      </c>
      <c r="D253" s="1">
        <v>0.33333333333333331</v>
      </c>
      <c r="E253" s="1">
        <v>0.625</v>
      </c>
      <c r="F253">
        <v>26.88</v>
      </c>
      <c r="G253">
        <v>188.16</v>
      </c>
      <c r="H253">
        <v>7</v>
      </c>
      <c r="K253" t="s">
        <v>56</v>
      </c>
      <c r="L253" t="s">
        <v>17</v>
      </c>
      <c r="M253" s="44" t="str">
        <f t="shared" si="3"/>
        <v>7 hr |</v>
      </c>
    </row>
    <row r="254" spans="1:13" x14ac:dyDescent="0.25">
      <c r="A254" t="s">
        <v>155</v>
      </c>
      <c r="B254" t="s">
        <v>156</v>
      </c>
      <c r="C254" t="s">
        <v>35</v>
      </c>
      <c r="D254" s="1">
        <v>0.35416666666666669</v>
      </c>
      <c r="E254" s="1">
        <v>0.625</v>
      </c>
      <c r="F254">
        <v>26.88</v>
      </c>
      <c r="G254">
        <v>174.72</v>
      </c>
      <c r="H254">
        <v>6.5</v>
      </c>
      <c r="J254" t="s">
        <v>15</v>
      </c>
      <c r="K254" t="s">
        <v>104</v>
      </c>
      <c r="L254" t="s">
        <v>37</v>
      </c>
      <c r="M254" s="44" t="str">
        <f t="shared" si="3"/>
        <v>6.5 hr |</v>
      </c>
    </row>
    <row r="255" spans="1:13" x14ac:dyDescent="0.25">
      <c r="A255" t="s">
        <v>155</v>
      </c>
      <c r="B255" t="s">
        <v>105</v>
      </c>
      <c r="C255" t="s">
        <v>35</v>
      </c>
      <c r="D255" s="1">
        <v>0.35416666666666669</v>
      </c>
      <c r="E255" s="1">
        <v>0.625</v>
      </c>
      <c r="F255">
        <v>26.88</v>
      </c>
      <c r="G255">
        <v>0</v>
      </c>
      <c r="H255">
        <v>6.5</v>
      </c>
      <c r="J255" t="s">
        <v>15</v>
      </c>
      <c r="K255" t="s">
        <v>106</v>
      </c>
      <c r="L255" t="s">
        <v>37</v>
      </c>
      <c r="M255" s="44" t="str">
        <f t="shared" si="3"/>
        <v>0 hr |</v>
      </c>
    </row>
    <row r="256" spans="1:13" x14ac:dyDescent="0.25">
      <c r="A256" t="s">
        <v>155</v>
      </c>
      <c r="B256" t="s">
        <v>108</v>
      </c>
      <c r="C256" t="s">
        <v>46</v>
      </c>
      <c r="D256" s="1">
        <v>0.375</v>
      </c>
      <c r="E256" s="1">
        <v>0.70833333333333337</v>
      </c>
      <c r="F256">
        <v>26.88</v>
      </c>
      <c r="G256">
        <v>215.04</v>
      </c>
      <c r="H256">
        <v>8</v>
      </c>
      <c r="I256">
        <v>411</v>
      </c>
      <c r="J256" t="s">
        <v>15</v>
      </c>
      <c r="K256" t="s">
        <v>20</v>
      </c>
      <c r="L256" t="s">
        <v>47</v>
      </c>
      <c r="M256" s="44" t="str">
        <f t="shared" si="3"/>
        <v>8 hr |</v>
      </c>
    </row>
    <row r="257" spans="1:13" x14ac:dyDescent="0.25">
      <c r="A257" t="s">
        <v>155</v>
      </c>
      <c r="B257" t="s">
        <v>62</v>
      </c>
      <c r="C257" t="s">
        <v>49</v>
      </c>
      <c r="D257" s="1">
        <v>0.375</v>
      </c>
      <c r="E257" s="1">
        <v>0.70833333333333337</v>
      </c>
      <c r="F257">
        <v>27.22</v>
      </c>
      <c r="G257">
        <v>217.76</v>
      </c>
      <c r="H257">
        <v>8</v>
      </c>
      <c r="I257" t="s">
        <v>50</v>
      </c>
      <c r="K257" t="s">
        <v>52</v>
      </c>
      <c r="L257" t="s">
        <v>47</v>
      </c>
      <c r="M257" s="44" t="str">
        <f t="shared" si="3"/>
        <v>8 hr |</v>
      </c>
    </row>
    <row r="258" spans="1:13" x14ac:dyDescent="0.25">
      <c r="A258" t="s">
        <v>155</v>
      </c>
      <c r="B258" t="s">
        <v>98</v>
      </c>
      <c r="C258" t="s">
        <v>46</v>
      </c>
      <c r="D258" s="1">
        <v>0.375</v>
      </c>
      <c r="E258" s="1">
        <v>0.70833333333333337</v>
      </c>
      <c r="F258">
        <v>27.22</v>
      </c>
      <c r="G258">
        <v>217.76</v>
      </c>
      <c r="H258">
        <v>8</v>
      </c>
      <c r="I258">
        <v>401</v>
      </c>
      <c r="J258" t="s">
        <v>15</v>
      </c>
      <c r="K258" t="s">
        <v>52</v>
      </c>
      <c r="L258" t="s">
        <v>47</v>
      </c>
      <c r="M258" s="44" t="str">
        <f t="shared" si="3"/>
        <v>8 hr |</v>
      </c>
    </row>
    <row r="259" spans="1:13" x14ac:dyDescent="0.25">
      <c r="A259" t="s">
        <v>155</v>
      </c>
      <c r="B259" t="s">
        <v>61</v>
      </c>
      <c r="C259" t="s">
        <v>46</v>
      </c>
      <c r="D259" s="1">
        <v>0.375</v>
      </c>
      <c r="E259" s="1">
        <v>0.70833333333333337</v>
      </c>
      <c r="F259">
        <v>27.22</v>
      </c>
      <c r="G259">
        <v>217.76</v>
      </c>
      <c r="H259">
        <v>8</v>
      </c>
      <c r="I259">
        <v>605</v>
      </c>
      <c r="J259" t="s">
        <v>15</v>
      </c>
      <c r="K259" t="s">
        <v>52</v>
      </c>
      <c r="L259" t="s">
        <v>47</v>
      </c>
      <c r="M259" s="44" t="str">
        <f t="shared" ref="M259:M322" si="4">IF($K259="","",TRIM(MID($K259,FIND(":",$K259)+1,LEN($K259))))</f>
        <v>8 hr |</v>
      </c>
    </row>
    <row r="260" spans="1:13" x14ac:dyDescent="0.25">
      <c r="A260" t="s">
        <v>155</v>
      </c>
      <c r="B260" t="s">
        <v>113</v>
      </c>
      <c r="C260" t="s">
        <v>32</v>
      </c>
      <c r="D260" s="1">
        <v>0.375</v>
      </c>
      <c r="E260" s="1">
        <v>0.70833333333333337</v>
      </c>
      <c r="F260">
        <v>27.22</v>
      </c>
      <c r="G260">
        <v>217.76</v>
      </c>
      <c r="H260">
        <v>8</v>
      </c>
      <c r="I260">
        <v>211</v>
      </c>
      <c r="J260" t="s">
        <v>15</v>
      </c>
      <c r="K260" t="s">
        <v>52</v>
      </c>
      <c r="L260" t="s">
        <v>57</v>
      </c>
      <c r="M260" s="44" t="str">
        <f t="shared" si="4"/>
        <v>8 hr |</v>
      </c>
    </row>
    <row r="261" spans="1:13" x14ac:dyDescent="0.25">
      <c r="A261" t="s">
        <v>155</v>
      </c>
      <c r="B261" t="s">
        <v>157</v>
      </c>
      <c r="C261" t="s">
        <v>46</v>
      </c>
      <c r="D261" s="1">
        <v>0.375</v>
      </c>
      <c r="E261" s="1">
        <v>0.625</v>
      </c>
      <c r="F261">
        <v>26.88</v>
      </c>
      <c r="G261">
        <v>161.28</v>
      </c>
      <c r="H261">
        <v>6</v>
      </c>
      <c r="I261">
        <v>504</v>
      </c>
      <c r="J261" t="s">
        <v>15</v>
      </c>
      <c r="K261" t="s">
        <v>42</v>
      </c>
      <c r="L261" t="s">
        <v>23</v>
      </c>
      <c r="M261" s="44" t="str">
        <f t="shared" si="4"/>
        <v>6 hr |</v>
      </c>
    </row>
    <row r="262" spans="1:13" x14ac:dyDescent="0.25">
      <c r="A262" t="s">
        <v>155</v>
      </c>
      <c r="B262" t="s">
        <v>112</v>
      </c>
      <c r="C262" t="s">
        <v>32</v>
      </c>
      <c r="D262" s="1">
        <v>0.375</v>
      </c>
      <c r="E262" s="1">
        <v>0.70833333333333337</v>
      </c>
      <c r="F262">
        <v>27.22</v>
      </c>
      <c r="G262">
        <v>217.76</v>
      </c>
      <c r="H262">
        <v>8</v>
      </c>
      <c r="I262" t="s">
        <v>123</v>
      </c>
      <c r="J262" t="s">
        <v>15</v>
      </c>
      <c r="K262" t="s">
        <v>52</v>
      </c>
      <c r="L262" t="s">
        <v>17</v>
      </c>
      <c r="M262" s="44" t="str">
        <f t="shared" si="4"/>
        <v>8 hr |</v>
      </c>
    </row>
    <row r="263" spans="1:13" x14ac:dyDescent="0.25">
      <c r="A263" t="s">
        <v>155</v>
      </c>
      <c r="B263" t="s">
        <v>122</v>
      </c>
      <c r="C263" t="s">
        <v>46</v>
      </c>
      <c r="D263" s="1">
        <v>0.375</v>
      </c>
      <c r="E263" s="1">
        <v>0.625</v>
      </c>
      <c r="F263">
        <v>27.22</v>
      </c>
      <c r="G263">
        <v>163.32</v>
      </c>
      <c r="H263">
        <v>6</v>
      </c>
      <c r="I263">
        <v>518</v>
      </c>
      <c r="J263" t="s">
        <v>15</v>
      </c>
      <c r="K263" t="s">
        <v>29</v>
      </c>
      <c r="L263" t="s">
        <v>30</v>
      </c>
      <c r="M263" s="44" t="str">
        <f t="shared" si="4"/>
        <v>6 hr |</v>
      </c>
    </row>
    <row r="264" spans="1:13" x14ac:dyDescent="0.25">
      <c r="A264" t="s">
        <v>155</v>
      </c>
      <c r="B264" t="s">
        <v>107</v>
      </c>
      <c r="C264" t="s">
        <v>44</v>
      </c>
      <c r="D264" s="1">
        <v>0.375</v>
      </c>
      <c r="E264" s="1">
        <v>0.70833333333333337</v>
      </c>
      <c r="F264">
        <v>26.88</v>
      </c>
      <c r="G264">
        <v>215.04</v>
      </c>
      <c r="H264">
        <v>8</v>
      </c>
      <c r="J264" t="s">
        <v>15</v>
      </c>
      <c r="K264" t="s">
        <v>20</v>
      </c>
      <c r="L264" t="s">
        <v>30</v>
      </c>
      <c r="M264" s="44" t="str">
        <f t="shared" si="4"/>
        <v>8 hr |</v>
      </c>
    </row>
    <row r="265" spans="1:13" x14ac:dyDescent="0.25">
      <c r="A265" t="s">
        <v>155</v>
      </c>
      <c r="B265" t="s">
        <v>146</v>
      </c>
      <c r="C265" t="s">
        <v>32</v>
      </c>
      <c r="D265" s="1">
        <v>0.375</v>
      </c>
      <c r="E265" s="1">
        <v>0.70833333333333337</v>
      </c>
      <c r="F265">
        <v>27.22</v>
      </c>
      <c r="G265">
        <v>217.76</v>
      </c>
      <c r="H265">
        <v>8</v>
      </c>
      <c r="I265">
        <v>201</v>
      </c>
      <c r="J265" t="s">
        <v>15</v>
      </c>
      <c r="K265" t="s">
        <v>52</v>
      </c>
      <c r="L265" t="s">
        <v>30</v>
      </c>
      <c r="M265" s="44" t="str">
        <f t="shared" si="4"/>
        <v>8 hr |</v>
      </c>
    </row>
    <row r="266" spans="1:13" x14ac:dyDescent="0.25">
      <c r="A266" t="s">
        <v>155</v>
      </c>
      <c r="B266" t="s">
        <v>114</v>
      </c>
      <c r="C266" t="s">
        <v>32</v>
      </c>
      <c r="D266" s="1">
        <v>0.375</v>
      </c>
      <c r="E266" s="1">
        <v>0.70833333333333337</v>
      </c>
      <c r="F266">
        <v>26.88</v>
      </c>
      <c r="G266">
        <v>215.04</v>
      </c>
      <c r="H266">
        <v>8</v>
      </c>
      <c r="I266">
        <v>218</v>
      </c>
      <c r="J266" t="s">
        <v>15</v>
      </c>
      <c r="K266" t="s">
        <v>20</v>
      </c>
      <c r="L266" t="s">
        <v>30</v>
      </c>
      <c r="M266" s="44" t="str">
        <f t="shared" si="4"/>
        <v>8 hr |</v>
      </c>
    </row>
    <row r="267" spans="1:13" x14ac:dyDescent="0.25">
      <c r="A267" t="s">
        <v>155</v>
      </c>
      <c r="B267" t="s">
        <v>54</v>
      </c>
      <c r="C267" t="s">
        <v>55</v>
      </c>
      <c r="D267" s="1">
        <v>0.375</v>
      </c>
      <c r="E267" s="1">
        <v>0.66666666666666663</v>
      </c>
      <c r="F267">
        <v>26.88</v>
      </c>
      <c r="G267">
        <v>188.16</v>
      </c>
      <c r="H267">
        <v>7</v>
      </c>
      <c r="K267" t="s">
        <v>56</v>
      </c>
      <c r="L267" t="s">
        <v>30</v>
      </c>
      <c r="M267" s="44" t="str">
        <f t="shared" si="4"/>
        <v>7 hr |</v>
      </c>
    </row>
    <row r="268" spans="1:13" x14ac:dyDescent="0.25">
      <c r="A268" t="s">
        <v>155</v>
      </c>
      <c r="B268" t="s">
        <v>58</v>
      </c>
      <c r="C268" t="s">
        <v>75</v>
      </c>
      <c r="D268" s="1">
        <v>0.5</v>
      </c>
      <c r="E268" s="1">
        <v>0.79166666666666663</v>
      </c>
      <c r="F268">
        <v>26.88</v>
      </c>
      <c r="G268">
        <v>188.16</v>
      </c>
      <c r="H268">
        <v>7</v>
      </c>
      <c r="K268" t="s">
        <v>56</v>
      </c>
      <c r="L268" t="s">
        <v>37</v>
      </c>
      <c r="M268" s="44" t="str">
        <f t="shared" si="4"/>
        <v>7 hr |</v>
      </c>
    </row>
    <row r="269" spans="1:13" x14ac:dyDescent="0.25">
      <c r="A269" t="s">
        <v>155</v>
      </c>
      <c r="B269" t="s">
        <v>72</v>
      </c>
      <c r="C269" t="s">
        <v>73</v>
      </c>
      <c r="D269" s="1">
        <v>0.5</v>
      </c>
      <c r="E269" s="1">
        <v>0.70833333333333337</v>
      </c>
      <c r="F269">
        <v>22</v>
      </c>
      <c r="G269">
        <v>110</v>
      </c>
      <c r="H269">
        <v>5</v>
      </c>
      <c r="K269" t="s">
        <v>158</v>
      </c>
      <c r="L269" t="s">
        <v>47</v>
      </c>
      <c r="M269" s="44" t="str">
        <f t="shared" si="4"/>
        <v>5 hr |</v>
      </c>
    </row>
    <row r="270" spans="1:13" x14ac:dyDescent="0.25">
      <c r="A270" t="s">
        <v>155</v>
      </c>
      <c r="B270" t="s">
        <v>159</v>
      </c>
      <c r="C270" t="s">
        <v>14</v>
      </c>
      <c r="D270" s="1">
        <v>0.58333333333333337</v>
      </c>
      <c r="E270" s="1">
        <v>0.91666666666666663</v>
      </c>
      <c r="F270">
        <v>30.5</v>
      </c>
      <c r="G270">
        <v>244</v>
      </c>
      <c r="H270">
        <v>8</v>
      </c>
      <c r="J270" t="s">
        <v>15</v>
      </c>
      <c r="K270" t="s">
        <v>20</v>
      </c>
      <c r="L270" t="s">
        <v>47</v>
      </c>
      <c r="M270" s="44" t="str">
        <f t="shared" si="4"/>
        <v>8 hr |</v>
      </c>
    </row>
    <row r="271" spans="1:13" x14ac:dyDescent="0.25">
      <c r="A271" t="s">
        <v>155</v>
      </c>
      <c r="B271" t="s">
        <v>21</v>
      </c>
      <c r="C271" t="s">
        <v>22</v>
      </c>
      <c r="D271" s="1">
        <v>0.625</v>
      </c>
      <c r="E271" s="1">
        <v>0.95833333333333337</v>
      </c>
      <c r="F271">
        <v>26.88</v>
      </c>
      <c r="G271">
        <v>215.04</v>
      </c>
      <c r="H271">
        <v>8</v>
      </c>
      <c r="K271" t="s">
        <v>20</v>
      </c>
      <c r="L271" t="s">
        <v>23</v>
      </c>
      <c r="M271" s="44" t="str">
        <f t="shared" si="4"/>
        <v>8 hr |</v>
      </c>
    </row>
    <row r="272" spans="1:13" x14ac:dyDescent="0.25">
      <c r="A272" t="s">
        <v>155</v>
      </c>
      <c r="B272" t="s">
        <v>53</v>
      </c>
      <c r="C272" t="s">
        <v>22</v>
      </c>
      <c r="D272" s="1">
        <v>0.625</v>
      </c>
      <c r="E272" s="1">
        <v>0.95833333333333337</v>
      </c>
      <c r="F272">
        <v>26.88</v>
      </c>
      <c r="G272">
        <v>215.04</v>
      </c>
      <c r="H272">
        <v>8</v>
      </c>
      <c r="K272" t="s">
        <v>20</v>
      </c>
      <c r="L272" t="s">
        <v>23</v>
      </c>
      <c r="M272" s="44" t="str">
        <f t="shared" si="4"/>
        <v>8 hr |</v>
      </c>
    </row>
    <row r="273" spans="1:13" x14ac:dyDescent="0.25">
      <c r="A273" t="s">
        <v>155</v>
      </c>
      <c r="B273" t="s">
        <v>111</v>
      </c>
      <c r="C273" t="s">
        <v>32</v>
      </c>
      <c r="D273" s="1">
        <v>0.625</v>
      </c>
      <c r="E273" s="1">
        <v>0.95833333333333337</v>
      </c>
      <c r="F273">
        <v>27.22</v>
      </c>
      <c r="G273">
        <v>217.76</v>
      </c>
      <c r="H273">
        <v>8</v>
      </c>
      <c r="I273" t="s">
        <v>142</v>
      </c>
      <c r="J273" t="s">
        <v>15</v>
      </c>
      <c r="K273" t="s">
        <v>52</v>
      </c>
      <c r="L273" t="s">
        <v>17</v>
      </c>
      <c r="M273" s="44" t="str">
        <f t="shared" si="4"/>
        <v>8 hr |</v>
      </c>
    </row>
    <row r="274" spans="1:13" x14ac:dyDescent="0.25">
      <c r="A274" t="s">
        <v>155</v>
      </c>
      <c r="B274" t="s">
        <v>27</v>
      </c>
      <c r="C274" t="s">
        <v>32</v>
      </c>
      <c r="D274" s="1">
        <v>0.625</v>
      </c>
      <c r="E274" s="1">
        <v>0.95833333333333337</v>
      </c>
      <c r="F274">
        <v>27.22</v>
      </c>
      <c r="G274">
        <v>217.76</v>
      </c>
      <c r="H274">
        <v>8</v>
      </c>
      <c r="I274" t="s">
        <v>123</v>
      </c>
      <c r="J274" t="s">
        <v>15</v>
      </c>
      <c r="K274" t="s">
        <v>52</v>
      </c>
      <c r="L274" t="s">
        <v>17</v>
      </c>
      <c r="M274" s="44" t="str">
        <f t="shared" si="4"/>
        <v>8 hr |</v>
      </c>
    </row>
    <row r="275" spans="1:13" x14ac:dyDescent="0.25">
      <c r="A275" t="s">
        <v>155</v>
      </c>
      <c r="B275" t="s">
        <v>102</v>
      </c>
      <c r="C275" t="s">
        <v>14</v>
      </c>
      <c r="D275" s="1">
        <v>0.625</v>
      </c>
      <c r="E275" s="1">
        <v>0.875</v>
      </c>
      <c r="F275">
        <v>30.5</v>
      </c>
      <c r="G275">
        <v>183</v>
      </c>
      <c r="H275">
        <v>6</v>
      </c>
      <c r="J275" t="s">
        <v>15</v>
      </c>
      <c r="K275" t="s">
        <v>42</v>
      </c>
      <c r="L275" t="s">
        <v>47</v>
      </c>
      <c r="M275" s="44" t="str">
        <f t="shared" si="4"/>
        <v>6 hr |</v>
      </c>
    </row>
    <row r="276" spans="1:13" x14ac:dyDescent="0.25">
      <c r="A276" t="s">
        <v>155</v>
      </c>
      <c r="B276" t="s">
        <v>122</v>
      </c>
      <c r="C276" t="s">
        <v>46</v>
      </c>
      <c r="D276" s="1">
        <v>0.625</v>
      </c>
      <c r="E276" s="1">
        <v>0.95833333333333337</v>
      </c>
      <c r="F276">
        <v>27.22</v>
      </c>
      <c r="G276">
        <v>217.76</v>
      </c>
      <c r="H276">
        <v>8</v>
      </c>
      <c r="I276">
        <v>318</v>
      </c>
      <c r="J276" t="s">
        <v>15</v>
      </c>
      <c r="K276" t="s">
        <v>52</v>
      </c>
      <c r="L276" t="s">
        <v>23</v>
      </c>
      <c r="M276" s="44" t="str">
        <f t="shared" si="4"/>
        <v>8 hr |</v>
      </c>
    </row>
    <row r="277" spans="1:13" x14ac:dyDescent="0.25">
      <c r="A277" t="s">
        <v>155</v>
      </c>
      <c r="B277" t="s">
        <v>157</v>
      </c>
      <c r="C277" t="s">
        <v>46</v>
      </c>
      <c r="D277" s="1">
        <v>0.625</v>
      </c>
      <c r="E277" s="1">
        <v>0.95833333333333337</v>
      </c>
      <c r="F277">
        <v>26.88</v>
      </c>
      <c r="G277">
        <v>215.04</v>
      </c>
      <c r="H277">
        <v>8</v>
      </c>
      <c r="I277">
        <v>617</v>
      </c>
      <c r="J277" t="s">
        <v>15</v>
      </c>
      <c r="K277" t="s">
        <v>20</v>
      </c>
      <c r="L277" t="s">
        <v>30</v>
      </c>
      <c r="M277" s="44" t="str">
        <f t="shared" si="4"/>
        <v>8 hr |</v>
      </c>
    </row>
    <row r="278" spans="1:13" x14ac:dyDescent="0.25">
      <c r="A278" t="s">
        <v>155</v>
      </c>
      <c r="B278" t="s">
        <v>151</v>
      </c>
      <c r="C278" t="s">
        <v>46</v>
      </c>
      <c r="D278" s="1">
        <v>0.625</v>
      </c>
      <c r="E278" s="1">
        <v>0.95833333333333337</v>
      </c>
      <c r="F278">
        <v>26.88</v>
      </c>
      <c r="G278">
        <v>215.04</v>
      </c>
      <c r="H278">
        <v>8</v>
      </c>
      <c r="I278">
        <v>418</v>
      </c>
      <c r="J278" t="s">
        <v>15</v>
      </c>
      <c r="K278" t="s">
        <v>20</v>
      </c>
      <c r="L278" t="s">
        <v>30</v>
      </c>
      <c r="M278" s="44" t="str">
        <f t="shared" si="4"/>
        <v>8 hr |</v>
      </c>
    </row>
    <row r="279" spans="1:13" x14ac:dyDescent="0.25">
      <c r="A279" t="s">
        <v>155</v>
      </c>
      <c r="B279" t="s">
        <v>148</v>
      </c>
      <c r="C279" t="s">
        <v>35</v>
      </c>
      <c r="D279" s="1">
        <v>0.66666666666666663</v>
      </c>
      <c r="E279" s="1">
        <v>0.95833333333333337</v>
      </c>
      <c r="F279">
        <v>26.88</v>
      </c>
      <c r="G279">
        <v>188.16</v>
      </c>
      <c r="H279">
        <v>7</v>
      </c>
      <c r="J279" t="s">
        <v>15</v>
      </c>
      <c r="K279" t="s">
        <v>56</v>
      </c>
      <c r="L279" t="s">
        <v>37</v>
      </c>
      <c r="M279" s="44" t="str">
        <f t="shared" si="4"/>
        <v>7 hr |</v>
      </c>
    </row>
    <row r="280" spans="1:13" x14ac:dyDescent="0.25">
      <c r="A280" t="s">
        <v>155</v>
      </c>
      <c r="B280" t="s">
        <v>105</v>
      </c>
      <c r="C280" t="s">
        <v>35</v>
      </c>
      <c r="D280" s="1">
        <v>0.66666666666666663</v>
      </c>
      <c r="E280" s="1">
        <v>0.95833333333333337</v>
      </c>
      <c r="F280">
        <v>26.88</v>
      </c>
      <c r="G280">
        <v>0</v>
      </c>
      <c r="H280">
        <v>7</v>
      </c>
      <c r="J280" t="s">
        <v>15</v>
      </c>
      <c r="K280" t="s">
        <v>106</v>
      </c>
      <c r="L280" t="s">
        <v>37</v>
      </c>
      <c r="M280" s="44" t="str">
        <f t="shared" si="4"/>
        <v>0 hr |</v>
      </c>
    </row>
    <row r="281" spans="1:13" x14ac:dyDescent="0.25">
      <c r="A281" t="s">
        <v>155</v>
      </c>
      <c r="B281" t="s">
        <v>141</v>
      </c>
      <c r="C281" t="s">
        <v>32</v>
      </c>
      <c r="D281" s="1">
        <v>0.6875</v>
      </c>
      <c r="E281" s="1">
        <v>0.95833333333333337</v>
      </c>
      <c r="F281">
        <v>27.22</v>
      </c>
      <c r="G281">
        <v>176.93</v>
      </c>
      <c r="H281">
        <v>6.5</v>
      </c>
      <c r="I281">
        <v>211</v>
      </c>
      <c r="J281" t="s">
        <v>15</v>
      </c>
      <c r="K281" t="s">
        <v>128</v>
      </c>
      <c r="L281" t="s">
        <v>17</v>
      </c>
      <c r="M281" s="44" t="str">
        <f t="shared" si="4"/>
        <v>6.5 hr |</v>
      </c>
    </row>
    <row r="282" spans="1:13" x14ac:dyDescent="0.25">
      <c r="A282" t="s">
        <v>155</v>
      </c>
      <c r="B282" t="s">
        <v>40</v>
      </c>
      <c r="C282" t="s">
        <v>44</v>
      </c>
      <c r="D282" s="1">
        <v>0.70833333333333337</v>
      </c>
      <c r="E282" s="1">
        <v>0.875</v>
      </c>
      <c r="F282">
        <v>26.88</v>
      </c>
      <c r="G282">
        <v>107.52</v>
      </c>
      <c r="H282">
        <v>4</v>
      </c>
      <c r="J282" t="s">
        <v>15</v>
      </c>
      <c r="K282" t="s">
        <v>16</v>
      </c>
      <c r="L282" t="s">
        <v>17</v>
      </c>
      <c r="M282" s="44" t="str">
        <f t="shared" si="4"/>
        <v>4 hr |</v>
      </c>
    </row>
    <row r="283" spans="1:13" x14ac:dyDescent="0.25">
      <c r="A283" t="s">
        <v>155</v>
      </c>
      <c r="B283" t="s">
        <v>136</v>
      </c>
      <c r="C283" t="s">
        <v>46</v>
      </c>
      <c r="D283" s="1">
        <v>0.70833333333333337</v>
      </c>
      <c r="E283" s="1">
        <v>0.95833333333333337</v>
      </c>
      <c r="F283">
        <v>26.88</v>
      </c>
      <c r="G283">
        <v>161.28</v>
      </c>
      <c r="H283">
        <v>6</v>
      </c>
      <c r="I283">
        <v>401</v>
      </c>
      <c r="J283" t="s">
        <v>15</v>
      </c>
      <c r="K283" t="s">
        <v>42</v>
      </c>
      <c r="L283" t="s">
        <v>47</v>
      </c>
      <c r="M283" s="44" t="str">
        <f t="shared" si="4"/>
        <v>6 hr |</v>
      </c>
    </row>
    <row r="284" spans="1:13" x14ac:dyDescent="0.25">
      <c r="A284" t="s">
        <v>155</v>
      </c>
      <c r="B284" t="s">
        <v>83</v>
      </c>
      <c r="C284" t="s">
        <v>46</v>
      </c>
      <c r="D284" s="1">
        <v>0.70833333333333337</v>
      </c>
      <c r="E284" s="1">
        <v>0.95833333333333337</v>
      </c>
      <c r="F284">
        <v>27.22</v>
      </c>
      <c r="G284">
        <v>163.32</v>
      </c>
      <c r="H284">
        <v>6</v>
      </c>
      <c r="I284">
        <v>411</v>
      </c>
      <c r="J284" t="s">
        <v>15</v>
      </c>
      <c r="K284" t="s">
        <v>29</v>
      </c>
      <c r="L284" t="s">
        <v>47</v>
      </c>
      <c r="M284" s="44" t="str">
        <f t="shared" si="4"/>
        <v>6 hr |</v>
      </c>
    </row>
    <row r="285" spans="1:13" x14ac:dyDescent="0.25">
      <c r="A285" t="s">
        <v>155</v>
      </c>
      <c r="B285" t="s">
        <v>62</v>
      </c>
      <c r="C285" t="s">
        <v>49</v>
      </c>
      <c r="D285" s="1">
        <v>0.70833333333333337</v>
      </c>
      <c r="E285" s="1">
        <v>0.95833333333333337</v>
      </c>
      <c r="F285">
        <v>27.22</v>
      </c>
      <c r="G285">
        <v>163.32</v>
      </c>
      <c r="H285">
        <v>6</v>
      </c>
      <c r="I285" t="s">
        <v>50</v>
      </c>
      <c r="K285" t="s">
        <v>29</v>
      </c>
      <c r="L285" t="s">
        <v>47</v>
      </c>
      <c r="M285" s="44" t="str">
        <f t="shared" si="4"/>
        <v>6 hr |</v>
      </c>
    </row>
    <row r="286" spans="1:13" x14ac:dyDescent="0.25">
      <c r="A286" t="s">
        <v>155</v>
      </c>
      <c r="B286" t="s">
        <v>48</v>
      </c>
      <c r="C286" t="s">
        <v>49</v>
      </c>
      <c r="D286" s="1">
        <v>0.70833333333333337</v>
      </c>
      <c r="E286" s="1">
        <v>0.95833333333333337</v>
      </c>
      <c r="F286">
        <v>26.88</v>
      </c>
      <c r="G286">
        <v>161.28</v>
      </c>
      <c r="H286">
        <v>6</v>
      </c>
      <c r="I286" t="s">
        <v>50</v>
      </c>
      <c r="K286" t="s">
        <v>42</v>
      </c>
      <c r="L286" t="s">
        <v>47</v>
      </c>
      <c r="M286" s="44" t="str">
        <f t="shared" si="4"/>
        <v>6 hr |</v>
      </c>
    </row>
    <row r="287" spans="1:13" x14ac:dyDescent="0.25">
      <c r="A287" t="s">
        <v>155</v>
      </c>
      <c r="B287" t="s">
        <v>134</v>
      </c>
      <c r="C287" t="s">
        <v>59</v>
      </c>
      <c r="D287" s="1">
        <v>0.70833333333333337</v>
      </c>
      <c r="E287" s="1">
        <v>0.91666666666666663</v>
      </c>
      <c r="F287">
        <v>26.88</v>
      </c>
      <c r="G287">
        <v>134.4</v>
      </c>
      <c r="H287">
        <v>5</v>
      </c>
      <c r="J287" t="s">
        <v>15</v>
      </c>
      <c r="K287" t="s">
        <v>87</v>
      </c>
      <c r="L287" t="s">
        <v>57</v>
      </c>
      <c r="M287" s="44" t="str">
        <f t="shared" si="4"/>
        <v>5 hr |</v>
      </c>
    </row>
    <row r="288" spans="1:13" x14ac:dyDescent="0.25">
      <c r="A288" t="s">
        <v>155</v>
      </c>
      <c r="B288" t="s">
        <v>114</v>
      </c>
      <c r="C288" t="s">
        <v>55</v>
      </c>
      <c r="D288" s="1">
        <v>0.70833333333333337</v>
      </c>
      <c r="E288" s="1">
        <v>0.91666666666666663</v>
      </c>
      <c r="F288">
        <v>26.88</v>
      </c>
      <c r="G288">
        <v>134.4</v>
      </c>
      <c r="H288">
        <v>5</v>
      </c>
      <c r="K288" t="s">
        <v>87</v>
      </c>
      <c r="L288" t="s">
        <v>57</v>
      </c>
      <c r="M288" s="44" t="str">
        <f t="shared" si="4"/>
        <v>5 hr |</v>
      </c>
    </row>
    <row r="289" spans="1:13" x14ac:dyDescent="0.25">
      <c r="A289" t="s">
        <v>155</v>
      </c>
      <c r="B289" t="s">
        <v>72</v>
      </c>
      <c r="C289" t="s">
        <v>32</v>
      </c>
      <c r="D289" s="1">
        <v>0.70833333333333337</v>
      </c>
      <c r="E289" s="1">
        <v>0.95833333333333337</v>
      </c>
      <c r="F289">
        <v>27.22</v>
      </c>
      <c r="G289">
        <v>163.32</v>
      </c>
      <c r="H289">
        <v>6</v>
      </c>
      <c r="I289" t="s">
        <v>160</v>
      </c>
      <c r="J289" t="s">
        <v>15</v>
      </c>
      <c r="K289" t="s">
        <v>29</v>
      </c>
      <c r="L289" t="s">
        <v>17</v>
      </c>
      <c r="M289" s="44" t="str">
        <f t="shared" si="4"/>
        <v>6 hr |</v>
      </c>
    </row>
    <row r="290" spans="1:13" x14ac:dyDescent="0.25">
      <c r="A290" t="s">
        <v>155</v>
      </c>
      <c r="B290" t="s">
        <v>112</v>
      </c>
      <c r="C290" t="s">
        <v>32</v>
      </c>
      <c r="D290" s="1">
        <v>0.70833333333333337</v>
      </c>
      <c r="E290" s="1">
        <v>0.95833333333333337</v>
      </c>
      <c r="F290">
        <v>27.22</v>
      </c>
      <c r="G290">
        <v>163.32</v>
      </c>
      <c r="H290">
        <v>6</v>
      </c>
      <c r="I290">
        <v>318</v>
      </c>
      <c r="J290" t="s">
        <v>15</v>
      </c>
      <c r="K290" t="s">
        <v>29</v>
      </c>
      <c r="L290" t="s">
        <v>17</v>
      </c>
      <c r="M290" s="44" t="str">
        <f t="shared" si="4"/>
        <v>6 hr |</v>
      </c>
    </row>
    <row r="291" spans="1:13" x14ac:dyDescent="0.25">
      <c r="A291" t="s">
        <v>155</v>
      </c>
      <c r="B291" t="s">
        <v>107</v>
      </c>
      <c r="C291" t="s">
        <v>55</v>
      </c>
      <c r="D291" s="1">
        <v>0.75</v>
      </c>
      <c r="E291" s="1">
        <v>0.91666666666666663</v>
      </c>
      <c r="F291">
        <v>26.88</v>
      </c>
      <c r="G291">
        <v>107.52</v>
      </c>
      <c r="H291">
        <v>4</v>
      </c>
      <c r="K291" t="s">
        <v>16</v>
      </c>
      <c r="L291" t="s">
        <v>57</v>
      </c>
      <c r="M291" s="44" t="str">
        <f t="shared" si="4"/>
        <v>4 hr |</v>
      </c>
    </row>
    <row r="292" spans="1:13" x14ac:dyDescent="0.25">
      <c r="A292" t="s">
        <v>155</v>
      </c>
      <c r="B292" t="s">
        <v>139</v>
      </c>
      <c r="C292" t="s">
        <v>127</v>
      </c>
      <c r="D292" s="1">
        <v>0.79166666666666663</v>
      </c>
      <c r="E292" s="1">
        <v>0.95833333333333337</v>
      </c>
      <c r="F292">
        <v>31.42</v>
      </c>
      <c r="G292">
        <v>125.68</v>
      </c>
      <c r="H292">
        <v>4</v>
      </c>
      <c r="K292" t="s">
        <v>16</v>
      </c>
      <c r="L292" t="s">
        <v>17</v>
      </c>
      <c r="M292" s="44" t="str">
        <f t="shared" si="4"/>
        <v>4 hr |</v>
      </c>
    </row>
    <row r="293" spans="1:13" x14ac:dyDescent="0.25">
      <c r="A293" t="s">
        <v>155</v>
      </c>
      <c r="B293" t="s">
        <v>105</v>
      </c>
      <c r="C293" t="s">
        <v>14</v>
      </c>
      <c r="D293" s="1">
        <v>0.91666666666666663</v>
      </c>
      <c r="E293" s="1">
        <v>0.29166666666666669</v>
      </c>
      <c r="F293">
        <v>30.5</v>
      </c>
      <c r="G293">
        <v>0</v>
      </c>
      <c r="H293">
        <v>9</v>
      </c>
      <c r="J293" t="s">
        <v>15</v>
      </c>
      <c r="K293" t="s">
        <v>138</v>
      </c>
      <c r="L293" t="s">
        <v>30</v>
      </c>
      <c r="M293" s="44" t="str">
        <f t="shared" si="4"/>
        <v>9 hr |</v>
      </c>
    </row>
    <row r="294" spans="1:13" x14ac:dyDescent="0.25">
      <c r="A294" t="s">
        <v>155</v>
      </c>
      <c r="B294" t="s">
        <v>66</v>
      </c>
      <c r="C294" t="s">
        <v>46</v>
      </c>
      <c r="D294" s="1">
        <v>0.95833333333333337</v>
      </c>
      <c r="E294" s="1">
        <v>0.375</v>
      </c>
      <c r="F294">
        <v>26.88</v>
      </c>
      <c r="G294">
        <v>268.8</v>
      </c>
      <c r="H294">
        <v>10</v>
      </c>
      <c r="I294">
        <v>318</v>
      </c>
      <c r="J294" t="s">
        <v>15</v>
      </c>
      <c r="K294" t="s">
        <v>97</v>
      </c>
      <c r="L294" t="s">
        <v>17</v>
      </c>
      <c r="M294" s="44" t="str">
        <f t="shared" si="4"/>
        <v>10 hr |</v>
      </c>
    </row>
    <row r="295" spans="1:13" x14ac:dyDescent="0.25">
      <c r="A295" t="s">
        <v>155</v>
      </c>
      <c r="B295" t="s">
        <v>79</v>
      </c>
      <c r="C295" t="s">
        <v>32</v>
      </c>
      <c r="D295" s="1">
        <v>0.95833333333333337</v>
      </c>
      <c r="E295" s="1">
        <v>0.375</v>
      </c>
      <c r="F295">
        <v>163.1</v>
      </c>
      <c r="G295">
        <v>244.76</v>
      </c>
      <c r="H295">
        <v>10</v>
      </c>
      <c r="I295" t="s">
        <v>142</v>
      </c>
      <c r="J295" t="s">
        <v>88</v>
      </c>
      <c r="K295" t="s">
        <v>140</v>
      </c>
      <c r="L295" t="s">
        <v>17</v>
      </c>
      <c r="M295" s="44" t="str">
        <f t="shared" si="4"/>
        <v>shift | 02 - HOURLY-MEDS: 3 hr |</v>
      </c>
    </row>
    <row r="296" spans="1:13" x14ac:dyDescent="0.25">
      <c r="A296" t="s">
        <v>155</v>
      </c>
      <c r="B296" t="s">
        <v>152</v>
      </c>
      <c r="C296" t="s">
        <v>22</v>
      </c>
      <c r="D296" s="1">
        <v>0.95833333333333337</v>
      </c>
      <c r="E296" s="1">
        <v>0.375</v>
      </c>
      <c r="F296">
        <v>27.22</v>
      </c>
      <c r="G296">
        <v>272.2</v>
      </c>
      <c r="H296">
        <v>10</v>
      </c>
      <c r="K296" t="s">
        <v>94</v>
      </c>
      <c r="L296" t="s">
        <v>23</v>
      </c>
      <c r="M296" s="44" t="str">
        <f t="shared" si="4"/>
        <v>10 hr |</v>
      </c>
    </row>
    <row r="297" spans="1:13" x14ac:dyDescent="0.25">
      <c r="A297" t="s">
        <v>155</v>
      </c>
      <c r="B297" t="s">
        <v>124</v>
      </c>
      <c r="C297" t="s">
        <v>28</v>
      </c>
      <c r="D297" s="1">
        <v>0.95833333333333337</v>
      </c>
      <c r="E297" s="1">
        <v>0.375</v>
      </c>
      <c r="F297">
        <v>27.22</v>
      </c>
      <c r="G297">
        <v>272.2</v>
      </c>
      <c r="H297">
        <v>10</v>
      </c>
      <c r="K297" t="s">
        <v>94</v>
      </c>
      <c r="L297" t="s">
        <v>47</v>
      </c>
      <c r="M297" s="44" t="str">
        <f t="shared" si="4"/>
        <v>10 hr |</v>
      </c>
    </row>
    <row r="298" spans="1:13" x14ac:dyDescent="0.25">
      <c r="A298" t="s">
        <v>155</v>
      </c>
      <c r="B298" t="s">
        <v>146</v>
      </c>
      <c r="C298" t="s">
        <v>32</v>
      </c>
      <c r="D298" s="1">
        <v>0.95833333333333337</v>
      </c>
      <c r="E298" s="1">
        <v>0.375</v>
      </c>
      <c r="F298">
        <v>27.22</v>
      </c>
      <c r="G298">
        <v>272.2</v>
      </c>
      <c r="H298">
        <v>10</v>
      </c>
      <c r="I298">
        <v>318</v>
      </c>
      <c r="J298" t="s">
        <v>15</v>
      </c>
      <c r="K298" t="s">
        <v>94</v>
      </c>
      <c r="L298" t="s">
        <v>30</v>
      </c>
      <c r="M298" s="44" t="str">
        <f t="shared" si="4"/>
        <v>10 hr |</v>
      </c>
    </row>
    <row r="299" spans="1:13" x14ac:dyDescent="0.25">
      <c r="A299" t="s">
        <v>155</v>
      </c>
      <c r="B299" t="s">
        <v>141</v>
      </c>
      <c r="C299" t="s">
        <v>32</v>
      </c>
      <c r="D299" s="1">
        <v>0.95833333333333337</v>
      </c>
      <c r="E299" s="1">
        <v>0.375</v>
      </c>
      <c r="F299">
        <v>27.22</v>
      </c>
      <c r="G299">
        <v>272.2</v>
      </c>
      <c r="H299">
        <v>10</v>
      </c>
      <c r="I299">
        <v>211</v>
      </c>
      <c r="J299" t="s">
        <v>15</v>
      </c>
      <c r="K299" t="s">
        <v>94</v>
      </c>
      <c r="L299" t="s">
        <v>30</v>
      </c>
      <c r="M299" s="44" t="str">
        <f t="shared" si="4"/>
        <v>10 hr |</v>
      </c>
    </row>
    <row r="300" spans="1:13" x14ac:dyDescent="0.25">
      <c r="A300" t="s">
        <v>155</v>
      </c>
      <c r="B300" t="s">
        <v>61</v>
      </c>
      <c r="C300" t="s">
        <v>32</v>
      </c>
      <c r="D300" s="1">
        <v>0.95833333333333337</v>
      </c>
      <c r="E300" s="1">
        <v>0.375</v>
      </c>
      <c r="F300">
        <v>26.88</v>
      </c>
      <c r="G300">
        <v>0</v>
      </c>
      <c r="H300">
        <v>10</v>
      </c>
      <c r="I300">
        <v>214</v>
      </c>
      <c r="J300" t="s">
        <v>15</v>
      </c>
      <c r="K300" t="s">
        <v>97</v>
      </c>
      <c r="L300" t="s">
        <v>17</v>
      </c>
      <c r="M300" s="44" t="str">
        <f t="shared" si="4"/>
        <v>10 hr |</v>
      </c>
    </row>
    <row r="301" spans="1:13" x14ac:dyDescent="0.25">
      <c r="A301" t="s">
        <v>155</v>
      </c>
      <c r="B301" t="s">
        <v>105</v>
      </c>
      <c r="C301" t="s">
        <v>154</v>
      </c>
      <c r="D301" s="1">
        <v>0.95833333333333337</v>
      </c>
      <c r="E301" s="1">
        <v>0.375</v>
      </c>
      <c r="F301">
        <v>22</v>
      </c>
      <c r="G301">
        <v>0</v>
      </c>
      <c r="H301">
        <v>10</v>
      </c>
      <c r="K301" t="s">
        <v>106</v>
      </c>
      <c r="L301" t="s">
        <v>23</v>
      </c>
      <c r="M301" s="44" t="str">
        <f t="shared" si="4"/>
        <v>0 hr |</v>
      </c>
    </row>
    <row r="302" spans="1:13" x14ac:dyDescent="0.25">
      <c r="A302" t="s">
        <v>155</v>
      </c>
      <c r="B302" t="s">
        <v>105</v>
      </c>
      <c r="C302" t="s">
        <v>55</v>
      </c>
      <c r="D302" s="1">
        <v>0.97916666666666663</v>
      </c>
      <c r="E302" s="1">
        <v>0.375</v>
      </c>
      <c r="F302">
        <v>26.88</v>
      </c>
      <c r="G302">
        <v>0</v>
      </c>
      <c r="H302">
        <v>9.5</v>
      </c>
      <c r="K302" t="s">
        <v>106</v>
      </c>
      <c r="L302" t="s">
        <v>30</v>
      </c>
      <c r="M302" s="44" t="str">
        <f t="shared" si="4"/>
        <v>0 hr |</v>
      </c>
    </row>
    <row r="303" spans="1:13" x14ac:dyDescent="0.25">
      <c r="A303" t="s">
        <v>161</v>
      </c>
      <c r="B303" t="s">
        <v>139</v>
      </c>
      <c r="C303" t="s">
        <v>19</v>
      </c>
      <c r="D303" s="1">
        <v>0.29166666666666669</v>
      </c>
      <c r="E303" s="1">
        <v>0.45833333333333331</v>
      </c>
      <c r="F303">
        <v>29</v>
      </c>
      <c r="G303">
        <v>116</v>
      </c>
      <c r="H303">
        <v>4</v>
      </c>
      <c r="K303" t="s">
        <v>68</v>
      </c>
      <c r="L303" t="s">
        <v>17</v>
      </c>
      <c r="M303" s="44" t="str">
        <f t="shared" si="4"/>
        <v>4 hr |</v>
      </c>
    </row>
    <row r="304" spans="1:13" x14ac:dyDescent="0.25">
      <c r="A304" t="s">
        <v>161</v>
      </c>
      <c r="B304" t="s">
        <v>162</v>
      </c>
      <c r="C304" t="s">
        <v>78</v>
      </c>
      <c r="D304" s="1">
        <v>0.29166666666666669</v>
      </c>
      <c r="E304" s="1">
        <v>0.625</v>
      </c>
      <c r="F304">
        <v>35</v>
      </c>
      <c r="G304">
        <v>280</v>
      </c>
      <c r="H304">
        <v>8</v>
      </c>
      <c r="K304" t="s">
        <v>20</v>
      </c>
      <c r="L304" t="s">
        <v>57</v>
      </c>
      <c r="M304" s="44" t="str">
        <f t="shared" si="4"/>
        <v>8 hr |</v>
      </c>
    </row>
    <row r="305" spans="1:13" x14ac:dyDescent="0.25">
      <c r="A305" t="s">
        <v>161</v>
      </c>
      <c r="B305" t="s">
        <v>13</v>
      </c>
      <c r="C305" t="s">
        <v>14</v>
      </c>
      <c r="D305" s="1">
        <v>0.29166666666666669</v>
      </c>
      <c r="E305" s="1">
        <v>0.625</v>
      </c>
      <c r="F305">
        <v>30.5</v>
      </c>
      <c r="G305">
        <v>244</v>
      </c>
      <c r="H305">
        <v>8</v>
      </c>
      <c r="J305" t="s">
        <v>15</v>
      </c>
      <c r="K305" t="s">
        <v>20</v>
      </c>
      <c r="L305" t="s">
        <v>47</v>
      </c>
      <c r="M305" s="44" t="str">
        <f t="shared" si="4"/>
        <v>8 hr |</v>
      </c>
    </row>
    <row r="306" spans="1:13" x14ac:dyDescent="0.25">
      <c r="A306" t="s">
        <v>161</v>
      </c>
      <c r="B306" t="s">
        <v>40</v>
      </c>
      <c r="C306" t="s">
        <v>14</v>
      </c>
      <c r="D306" s="1">
        <v>0.29166666666666669</v>
      </c>
      <c r="E306" s="1">
        <v>0.625</v>
      </c>
      <c r="F306">
        <v>30.5</v>
      </c>
      <c r="G306">
        <v>244</v>
      </c>
      <c r="H306">
        <v>8</v>
      </c>
      <c r="J306" t="s">
        <v>15</v>
      </c>
      <c r="K306" t="s">
        <v>20</v>
      </c>
      <c r="L306" t="s">
        <v>47</v>
      </c>
      <c r="M306" s="44" t="str">
        <f t="shared" si="4"/>
        <v>8 hr |</v>
      </c>
    </row>
    <row r="307" spans="1:13" x14ac:dyDescent="0.25">
      <c r="A307" t="s">
        <v>161</v>
      </c>
      <c r="B307" t="s">
        <v>25</v>
      </c>
      <c r="C307" t="s">
        <v>26</v>
      </c>
      <c r="D307" s="1">
        <v>0.33333333333333331</v>
      </c>
      <c r="E307" s="1">
        <v>0.66666666666666663</v>
      </c>
      <c r="F307">
        <v>26.88</v>
      </c>
      <c r="G307">
        <v>215.04</v>
      </c>
      <c r="H307">
        <v>8</v>
      </c>
      <c r="J307" t="s">
        <v>15</v>
      </c>
      <c r="K307" t="s">
        <v>20</v>
      </c>
      <c r="L307" t="s">
        <v>23</v>
      </c>
      <c r="M307" s="44" t="str">
        <f t="shared" si="4"/>
        <v>8 hr |</v>
      </c>
    </row>
    <row r="308" spans="1:13" x14ac:dyDescent="0.25">
      <c r="A308" t="s">
        <v>161</v>
      </c>
      <c r="B308" t="s">
        <v>60</v>
      </c>
      <c r="C308" t="s">
        <v>32</v>
      </c>
      <c r="D308" s="1">
        <v>0.33333333333333331</v>
      </c>
      <c r="E308" s="1">
        <v>0.625</v>
      </c>
      <c r="F308">
        <v>27.22</v>
      </c>
      <c r="G308">
        <v>190.54</v>
      </c>
      <c r="H308">
        <v>7</v>
      </c>
      <c r="I308">
        <v>402</v>
      </c>
      <c r="J308" t="s">
        <v>15</v>
      </c>
      <c r="K308" t="s">
        <v>33</v>
      </c>
      <c r="L308" t="s">
        <v>17</v>
      </c>
      <c r="M308" s="44" t="str">
        <f t="shared" si="4"/>
        <v>7 hr |</v>
      </c>
    </row>
    <row r="309" spans="1:13" x14ac:dyDescent="0.25">
      <c r="A309" t="s">
        <v>161</v>
      </c>
      <c r="B309" t="s">
        <v>38</v>
      </c>
      <c r="C309" t="s">
        <v>35</v>
      </c>
      <c r="D309" s="1">
        <v>0.35416666666666669</v>
      </c>
      <c r="E309" s="1">
        <v>0.66666666666666663</v>
      </c>
      <c r="F309">
        <v>26.88</v>
      </c>
      <c r="G309">
        <v>201.6</v>
      </c>
      <c r="H309">
        <v>7.5</v>
      </c>
      <c r="J309" t="s">
        <v>15</v>
      </c>
      <c r="K309" t="s">
        <v>39</v>
      </c>
      <c r="L309" t="s">
        <v>37</v>
      </c>
      <c r="M309" s="44" t="str">
        <f t="shared" si="4"/>
        <v>7.5 hr |</v>
      </c>
    </row>
    <row r="310" spans="1:13" x14ac:dyDescent="0.25">
      <c r="A310" t="s">
        <v>161</v>
      </c>
      <c r="B310" t="s">
        <v>81</v>
      </c>
      <c r="C310" t="s">
        <v>35</v>
      </c>
      <c r="D310" s="1">
        <v>0.35416666666666669</v>
      </c>
      <c r="E310" s="1">
        <v>0.66666666666666663</v>
      </c>
      <c r="F310">
        <v>26.88</v>
      </c>
      <c r="G310">
        <v>201.6</v>
      </c>
      <c r="H310">
        <v>7.5</v>
      </c>
      <c r="J310" t="s">
        <v>15</v>
      </c>
      <c r="K310" t="s">
        <v>39</v>
      </c>
      <c r="L310" t="s">
        <v>37</v>
      </c>
      <c r="M310" s="44" t="str">
        <f t="shared" si="4"/>
        <v>7.5 hr |</v>
      </c>
    </row>
    <row r="311" spans="1:13" x14ac:dyDescent="0.25">
      <c r="A311" t="s">
        <v>161</v>
      </c>
      <c r="B311" t="s">
        <v>18</v>
      </c>
      <c r="C311" t="s">
        <v>35</v>
      </c>
      <c r="D311" s="1">
        <v>0.35416666666666669</v>
      </c>
      <c r="E311" s="1">
        <v>0.66666666666666663</v>
      </c>
      <c r="F311">
        <v>26.88</v>
      </c>
      <c r="G311">
        <v>201.6</v>
      </c>
      <c r="H311">
        <v>7.5</v>
      </c>
      <c r="J311" t="s">
        <v>15</v>
      </c>
      <c r="K311" t="s">
        <v>39</v>
      </c>
      <c r="L311" t="s">
        <v>37</v>
      </c>
      <c r="M311" s="44" t="str">
        <f t="shared" si="4"/>
        <v>7.5 hr |</v>
      </c>
    </row>
    <row r="312" spans="1:13" x14ac:dyDescent="0.25">
      <c r="A312" t="s">
        <v>161</v>
      </c>
      <c r="B312" t="s">
        <v>163</v>
      </c>
      <c r="C312" t="s">
        <v>164</v>
      </c>
      <c r="D312" s="1">
        <v>0.35416666666666669</v>
      </c>
      <c r="E312" s="1">
        <v>0.85416666666666663</v>
      </c>
      <c r="F312">
        <v>31.17</v>
      </c>
      <c r="G312">
        <v>374.04</v>
      </c>
      <c r="H312">
        <v>12</v>
      </c>
      <c r="J312" t="s">
        <v>15</v>
      </c>
      <c r="K312" t="s">
        <v>165</v>
      </c>
      <c r="L312" t="s">
        <v>17</v>
      </c>
      <c r="M312" s="44" t="str">
        <f t="shared" si="4"/>
        <v>12 hr |</v>
      </c>
    </row>
    <row r="313" spans="1:13" x14ac:dyDescent="0.25">
      <c r="A313" t="s">
        <v>161</v>
      </c>
      <c r="B313" t="s">
        <v>105</v>
      </c>
      <c r="C313" t="s">
        <v>35</v>
      </c>
      <c r="D313" s="1">
        <v>0.35416666666666669</v>
      </c>
      <c r="E313" s="1">
        <v>0.66666666666666663</v>
      </c>
      <c r="F313">
        <v>26.88</v>
      </c>
      <c r="G313">
        <v>0</v>
      </c>
      <c r="H313">
        <v>7.5</v>
      </c>
      <c r="J313" t="s">
        <v>15</v>
      </c>
      <c r="K313" t="s">
        <v>106</v>
      </c>
      <c r="L313" t="s">
        <v>37</v>
      </c>
      <c r="M313" s="44" t="str">
        <f t="shared" si="4"/>
        <v>0 hr |</v>
      </c>
    </row>
    <row r="314" spans="1:13" x14ac:dyDescent="0.25">
      <c r="A314" t="s">
        <v>161</v>
      </c>
      <c r="B314" t="s">
        <v>93</v>
      </c>
      <c r="C314" t="s">
        <v>75</v>
      </c>
      <c r="D314" s="1">
        <v>0.375</v>
      </c>
      <c r="E314" s="1">
        <v>0.70833333333333337</v>
      </c>
      <c r="F314">
        <v>27.22</v>
      </c>
      <c r="G314">
        <v>217.76</v>
      </c>
      <c r="H314">
        <v>8</v>
      </c>
      <c r="K314" t="s">
        <v>52</v>
      </c>
      <c r="L314" t="s">
        <v>37</v>
      </c>
      <c r="M314" s="44" t="str">
        <f t="shared" si="4"/>
        <v>8 hr |</v>
      </c>
    </row>
    <row r="315" spans="1:13" x14ac:dyDescent="0.25">
      <c r="A315" t="s">
        <v>161</v>
      </c>
      <c r="B315" t="s">
        <v>45</v>
      </c>
      <c r="C315" t="s">
        <v>46</v>
      </c>
      <c r="D315" s="1">
        <v>0.375</v>
      </c>
      <c r="E315" s="1">
        <v>0.70833333333333337</v>
      </c>
      <c r="F315">
        <v>27.22</v>
      </c>
      <c r="G315">
        <v>217.76</v>
      </c>
      <c r="H315">
        <v>8</v>
      </c>
      <c r="I315">
        <v>605</v>
      </c>
      <c r="J315" t="s">
        <v>15</v>
      </c>
      <c r="K315" t="s">
        <v>52</v>
      </c>
      <c r="L315" t="s">
        <v>47</v>
      </c>
      <c r="M315" s="44" t="str">
        <f t="shared" si="4"/>
        <v>8 hr |</v>
      </c>
    </row>
    <row r="316" spans="1:13" x14ac:dyDescent="0.25">
      <c r="A316" t="s">
        <v>161</v>
      </c>
      <c r="B316" t="s">
        <v>21</v>
      </c>
      <c r="C316" t="s">
        <v>22</v>
      </c>
      <c r="D316" s="1">
        <v>0.375</v>
      </c>
      <c r="E316" s="1">
        <v>0.70833333333333337</v>
      </c>
      <c r="F316">
        <v>26.88</v>
      </c>
      <c r="G316">
        <v>228.48</v>
      </c>
      <c r="H316">
        <v>8</v>
      </c>
      <c r="K316" t="s">
        <v>166</v>
      </c>
      <c r="L316" t="s">
        <v>23</v>
      </c>
      <c r="M316" s="44" t="str">
        <f t="shared" si="4"/>
        <v>7 hr | 02 - OVERTIME-HOURLY: 1 hr |</v>
      </c>
    </row>
    <row r="317" spans="1:13" x14ac:dyDescent="0.25">
      <c r="A317" t="s">
        <v>161</v>
      </c>
      <c r="B317" t="s">
        <v>107</v>
      </c>
      <c r="C317" t="s">
        <v>59</v>
      </c>
      <c r="D317" s="1">
        <v>0.375</v>
      </c>
      <c r="E317" s="1">
        <v>0.625</v>
      </c>
      <c r="F317">
        <v>26.88</v>
      </c>
      <c r="G317">
        <v>161.28</v>
      </c>
      <c r="H317">
        <v>6</v>
      </c>
      <c r="J317" t="s">
        <v>15</v>
      </c>
      <c r="K317" t="s">
        <v>42</v>
      </c>
      <c r="L317" t="s">
        <v>57</v>
      </c>
      <c r="M317" s="44" t="str">
        <f t="shared" si="4"/>
        <v>6 hr |</v>
      </c>
    </row>
    <row r="318" spans="1:13" x14ac:dyDescent="0.25">
      <c r="A318" t="s">
        <v>161</v>
      </c>
      <c r="B318" t="s">
        <v>134</v>
      </c>
      <c r="C318" t="s">
        <v>59</v>
      </c>
      <c r="D318" s="1">
        <v>0.375</v>
      </c>
      <c r="E318" s="1">
        <v>0.91666666666666663</v>
      </c>
      <c r="F318">
        <v>26.88</v>
      </c>
      <c r="G318">
        <v>349.44</v>
      </c>
      <c r="H318">
        <v>13</v>
      </c>
      <c r="J318" t="s">
        <v>15</v>
      </c>
      <c r="K318" t="s">
        <v>167</v>
      </c>
      <c r="L318" t="s">
        <v>57</v>
      </c>
      <c r="M318" s="44" t="str">
        <f t="shared" si="4"/>
        <v>13 hr |</v>
      </c>
    </row>
    <row r="319" spans="1:13" x14ac:dyDescent="0.25">
      <c r="A319" t="s">
        <v>161</v>
      </c>
      <c r="B319" t="s">
        <v>114</v>
      </c>
      <c r="C319" t="s">
        <v>55</v>
      </c>
      <c r="D319" s="1">
        <v>0.375</v>
      </c>
      <c r="E319" s="1">
        <v>0.70833333333333337</v>
      </c>
      <c r="F319">
        <v>26.88</v>
      </c>
      <c r="G319">
        <v>215.04</v>
      </c>
      <c r="H319">
        <v>8</v>
      </c>
      <c r="K319" t="s">
        <v>20</v>
      </c>
      <c r="L319" t="s">
        <v>57</v>
      </c>
      <c r="M319" s="44" t="str">
        <f t="shared" si="4"/>
        <v>8 hr |</v>
      </c>
    </row>
    <row r="320" spans="1:13" x14ac:dyDescent="0.25">
      <c r="A320" t="s">
        <v>161</v>
      </c>
      <c r="B320" t="s">
        <v>62</v>
      </c>
      <c r="C320" t="s">
        <v>55</v>
      </c>
      <c r="D320" s="1">
        <v>0.375</v>
      </c>
      <c r="E320" s="1">
        <v>0.58333333333333337</v>
      </c>
      <c r="F320">
        <v>27.22</v>
      </c>
      <c r="G320">
        <v>136.1</v>
      </c>
      <c r="H320">
        <v>5</v>
      </c>
      <c r="K320" t="s">
        <v>158</v>
      </c>
      <c r="L320" t="s">
        <v>57</v>
      </c>
      <c r="M320" s="44" t="str">
        <f t="shared" si="4"/>
        <v>5 hr |</v>
      </c>
    </row>
    <row r="321" spans="1:13" x14ac:dyDescent="0.25">
      <c r="A321" t="s">
        <v>161</v>
      </c>
      <c r="B321" t="s">
        <v>54</v>
      </c>
      <c r="C321" t="s">
        <v>55</v>
      </c>
      <c r="D321" s="1">
        <v>0.375</v>
      </c>
      <c r="E321" s="1">
        <v>0.875</v>
      </c>
      <c r="F321">
        <v>26.88</v>
      </c>
      <c r="G321">
        <v>322.56</v>
      </c>
      <c r="H321">
        <v>12</v>
      </c>
      <c r="K321" t="s">
        <v>165</v>
      </c>
      <c r="L321" t="s">
        <v>57</v>
      </c>
      <c r="M321" s="44" t="str">
        <f t="shared" si="4"/>
        <v>12 hr |</v>
      </c>
    </row>
    <row r="322" spans="1:13" x14ac:dyDescent="0.25">
      <c r="A322" t="s">
        <v>161</v>
      </c>
      <c r="B322" t="s">
        <v>111</v>
      </c>
      <c r="C322" t="s">
        <v>32</v>
      </c>
      <c r="D322" s="1">
        <v>0.375</v>
      </c>
      <c r="E322" s="1">
        <v>0.625</v>
      </c>
      <c r="F322">
        <v>27.22</v>
      </c>
      <c r="G322">
        <v>163.32</v>
      </c>
      <c r="H322">
        <v>6</v>
      </c>
      <c r="I322" t="s">
        <v>142</v>
      </c>
      <c r="J322" t="s">
        <v>15</v>
      </c>
      <c r="K322" t="s">
        <v>29</v>
      </c>
      <c r="L322" t="s">
        <v>17</v>
      </c>
      <c r="M322" s="44" t="str">
        <f t="shared" si="4"/>
        <v>6 hr |</v>
      </c>
    </row>
    <row r="323" spans="1:13" x14ac:dyDescent="0.25">
      <c r="A323" t="s">
        <v>161</v>
      </c>
      <c r="B323" t="s">
        <v>115</v>
      </c>
      <c r="C323" t="s">
        <v>32</v>
      </c>
      <c r="D323" s="1">
        <v>0.375</v>
      </c>
      <c r="E323" s="1">
        <v>0.625</v>
      </c>
      <c r="F323">
        <v>27.22</v>
      </c>
      <c r="G323">
        <v>163.32</v>
      </c>
      <c r="H323">
        <v>6</v>
      </c>
      <c r="I323">
        <v>211</v>
      </c>
      <c r="J323" t="s">
        <v>15</v>
      </c>
      <c r="K323" t="s">
        <v>29</v>
      </c>
      <c r="L323" t="s">
        <v>17</v>
      </c>
      <c r="M323" s="44" t="str">
        <f t="shared" ref="M323:M386" si="5">IF($K323="","",TRIM(MID($K323,FIND(":",$K323)+1,LEN($K323))))</f>
        <v>6 hr |</v>
      </c>
    </row>
    <row r="324" spans="1:13" x14ac:dyDescent="0.25">
      <c r="A324" t="s">
        <v>161</v>
      </c>
      <c r="B324" t="s">
        <v>103</v>
      </c>
      <c r="C324" t="s">
        <v>26</v>
      </c>
      <c r="D324" s="1">
        <v>0.375</v>
      </c>
      <c r="E324" s="1">
        <v>0.70833333333333337</v>
      </c>
      <c r="F324">
        <v>26.88</v>
      </c>
      <c r="G324">
        <v>215.04</v>
      </c>
      <c r="H324">
        <v>8</v>
      </c>
      <c r="J324" t="s">
        <v>15</v>
      </c>
      <c r="K324" t="s">
        <v>20</v>
      </c>
      <c r="L324" t="s">
        <v>23</v>
      </c>
      <c r="M324" s="44" t="str">
        <f t="shared" si="5"/>
        <v>8 hr |</v>
      </c>
    </row>
    <row r="325" spans="1:13" x14ac:dyDescent="0.25">
      <c r="A325" t="s">
        <v>161</v>
      </c>
      <c r="B325" t="s">
        <v>157</v>
      </c>
      <c r="C325" t="s">
        <v>46</v>
      </c>
      <c r="D325" s="1">
        <v>0.375</v>
      </c>
      <c r="E325" s="1">
        <v>0.625</v>
      </c>
      <c r="F325">
        <v>26.88</v>
      </c>
      <c r="G325">
        <v>0</v>
      </c>
      <c r="H325">
        <v>6</v>
      </c>
      <c r="I325">
        <v>518</v>
      </c>
      <c r="J325" t="s">
        <v>15</v>
      </c>
      <c r="K325" t="s">
        <v>42</v>
      </c>
      <c r="L325" t="s">
        <v>17</v>
      </c>
      <c r="M325" s="44" t="str">
        <f t="shared" si="5"/>
        <v>6 hr |</v>
      </c>
    </row>
    <row r="326" spans="1:13" x14ac:dyDescent="0.25">
      <c r="A326" t="s">
        <v>161</v>
      </c>
      <c r="B326" t="s">
        <v>151</v>
      </c>
      <c r="C326" t="s">
        <v>28</v>
      </c>
      <c r="D326" s="1">
        <v>0.41666666666666669</v>
      </c>
      <c r="E326" s="1">
        <v>0.70833333333333337</v>
      </c>
      <c r="F326">
        <v>26.88</v>
      </c>
      <c r="G326">
        <v>188.16</v>
      </c>
      <c r="H326">
        <v>7</v>
      </c>
      <c r="K326" t="s">
        <v>56</v>
      </c>
      <c r="L326" t="s">
        <v>30</v>
      </c>
      <c r="M326" s="44" t="str">
        <f t="shared" si="5"/>
        <v>7 hr |</v>
      </c>
    </row>
    <row r="327" spans="1:13" x14ac:dyDescent="0.25">
      <c r="A327" t="s">
        <v>161</v>
      </c>
      <c r="B327" t="s">
        <v>58</v>
      </c>
      <c r="C327" t="s">
        <v>75</v>
      </c>
      <c r="D327" s="1">
        <v>0.5</v>
      </c>
      <c r="E327" s="1">
        <v>0.79166666666666663</v>
      </c>
      <c r="F327">
        <v>26.88</v>
      </c>
      <c r="G327">
        <v>188.16</v>
      </c>
      <c r="H327">
        <v>7</v>
      </c>
      <c r="K327" t="s">
        <v>56</v>
      </c>
      <c r="L327" t="s">
        <v>37</v>
      </c>
      <c r="M327" s="44" t="str">
        <f t="shared" si="5"/>
        <v>7 hr |</v>
      </c>
    </row>
    <row r="328" spans="1:13" x14ac:dyDescent="0.25">
      <c r="A328" t="s">
        <v>161</v>
      </c>
      <c r="B328" t="s">
        <v>72</v>
      </c>
      <c r="C328" t="s">
        <v>73</v>
      </c>
      <c r="D328" s="1">
        <v>0.5</v>
      </c>
      <c r="E328" s="1">
        <v>0.70833333333333337</v>
      </c>
      <c r="F328">
        <v>22</v>
      </c>
      <c r="G328">
        <v>110</v>
      </c>
      <c r="H328">
        <v>5</v>
      </c>
      <c r="K328" t="s">
        <v>158</v>
      </c>
      <c r="L328" t="s">
        <v>47</v>
      </c>
      <c r="M328" s="44" t="str">
        <f t="shared" si="5"/>
        <v>5 hr |</v>
      </c>
    </row>
    <row r="329" spans="1:13" x14ac:dyDescent="0.25">
      <c r="A329" t="s">
        <v>161</v>
      </c>
      <c r="B329" t="s">
        <v>85</v>
      </c>
      <c r="C329" t="s">
        <v>49</v>
      </c>
      <c r="D329" s="1">
        <v>0.625</v>
      </c>
      <c r="E329" s="1">
        <v>0.95833333333333337</v>
      </c>
      <c r="F329">
        <v>27.22</v>
      </c>
      <c r="G329">
        <v>217.76</v>
      </c>
      <c r="H329">
        <v>8</v>
      </c>
      <c r="I329" t="s">
        <v>50</v>
      </c>
      <c r="K329" t="s">
        <v>52</v>
      </c>
      <c r="L329" t="s">
        <v>47</v>
      </c>
      <c r="M329" s="44" t="str">
        <f t="shared" si="5"/>
        <v>8 hr |</v>
      </c>
    </row>
    <row r="330" spans="1:13" x14ac:dyDescent="0.25">
      <c r="A330" t="s">
        <v>161</v>
      </c>
      <c r="B330" t="s">
        <v>24</v>
      </c>
      <c r="C330" t="s">
        <v>22</v>
      </c>
      <c r="D330" s="1">
        <v>0.625</v>
      </c>
      <c r="E330" s="1">
        <v>0.95833333333333337</v>
      </c>
      <c r="F330">
        <v>26.88</v>
      </c>
      <c r="G330">
        <v>215.04</v>
      </c>
      <c r="H330">
        <v>8</v>
      </c>
      <c r="K330" t="s">
        <v>20</v>
      </c>
      <c r="L330" t="s">
        <v>23</v>
      </c>
      <c r="M330" s="44" t="str">
        <f t="shared" si="5"/>
        <v>8 hr |</v>
      </c>
    </row>
    <row r="331" spans="1:13" x14ac:dyDescent="0.25">
      <c r="A331" t="s">
        <v>161</v>
      </c>
      <c r="B331" t="s">
        <v>51</v>
      </c>
      <c r="C331" t="s">
        <v>22</v>
      </c>
      <c r="D331" s="1">
        <v>0.625</v>
      </c>
      <c r="E331" s="1">
        <v>0.95833333333333337</v>
      </c>
      <c r="F331">
        <v>27.22</v>
      </c>
      <c r="G331">
        <v>217.76</v>
      </c>
      <c r="H331">
        <v>8</v>
      </c>
      <c r="K331" t="s">
        <v>52</v>
      </c>
      <c r="L331" t="s">
        <v>23</v>
      </c>
      <c r="M331" s="44" t="str">
        <f t="shared" si="5"/>
        <v>8 hr |</v>
      </c>
    </row>
    <row r="332" spans="1:13" x14ac:dyDescent="0.25">
      <c r="A332" t="s">
        <v>161</v>
      </c>
      <c r="B332" t="s">
        <v>60</v>
      </c>
      <c r="C332" t="s">
        <v>32</v>
      </c>
      <c r="D332" s="1">
        <v>0.625</v>
      </c>
      <c r="E332" s="1">
        <v>0.95833333333333337</v>
      </c>
      <c r="F332">
        <v>27.22</v>
      </c>
      <c r="G332">
        <v>217.76</v>
      </c>
      <c r="H332">
        <v>8</v>
      </c>
      <c r="I332">
        <v>402</v>
      </c>
      <c r="J332" t="s">
        <v>15</v>
      </c>
      <c r="K332" t="s">
        <v>52</v>
      </c>
      <c r="L332" t="s">
        <v>17</v>
      </c>
      <c r="M332" s="44" t="str">
        <f t="shared" si="5"/>
        <v>8 hr |</v>
      </c>
    </row>
    <row r="333" spans="1:13" x14ac:dyDescent="0.25">
      <c r="A333" t="s">
        <v>161</v>
      </c>
      <c r="B333" t="s">
        <v>115</v>
      </c>
      <c r="C333" t="s">
        <v>32</v>
      </c>
      <c r="D333" s="1">
        <v>0.625</v>
      </c>
      <c r="E333" s="1">
        <v>0.95833333333333337</v>
      </c>
      <c r="F333">
        <v>27.22</v>
      </c>
      <c r="G333">
        <v>217.76</v>
      </c>
      <c r="H333">
        <v>8</v>
      </c>
      <c r="I333" t="s">
        <v>123</v>
      </c>
      <c r="J333" t="s">
        <v>15</v>
      </c>
      <c r="K333" t="s">
        <v>52</v>
      </c>
      <c r="L333" t="s">
        <v>17</v>
      </c>
      <c r="M333" s="44" t="str">
        <f t="shared" si="5"/>
        <v>8 hr |</v>
      </c>
    </row>
    <row r="334" spans="1:13" x14ac:dyDescent="0.25">
      <c r="A334" t="s">
        <v>161</v>
      </c>
      <c r="B334" t="s">
        <v>76</v>
      </c>
      <c r="C334" t="s">
        <v>28</v>
      </c>
      <c r="D334" s="1">
        <v>0.625</v>
      </c>
      <c r="E334" s="1">
        <v>0.95833333333333337</v>
      </c>
      <c r="F334">
        <v>26.88</v>
      </c>
      <c r="G334">
        <v>215.04</v>
      </c>
      <c r="H334">
        <v>8</v>
      </c>
      <c r="K334" t="s">
        <v>20</v>
      </c>
      <c r="L334" t="s">
        <v>47</v>
      </c>
      <c r="M334" s="44" t="str">
        <f t="shared" si="5"/>
        <v>8 hr |</v>
      </c>
    </row>
    <row r="335" spans="1:13" x14ac:dyDescent="0.25">
      <c r="A335" t="s">
        <v>161</v>
      </c>
      <c r="B335" t="s">
        <v>159</v>
      </c>
      <c r="C335" t="s">
        <v>14</v>
      </c>
      <c r="D335" s="1">
        <v>0.625</v>
      </c>
      <c r="E335" s="1">
        <v>0.95833333333333337</v>
      </c>
      <c r="F335">
        <v>30.5</v>
      </c>
      <c r="G335">
        <v>244</v>
      </c>
      <c r="H335">
        <v>8</v>
      </c>
      <c r="J335" t="s">
        <v>15</v>
      </c>
      <c r="K335" t="s">
        <v>20</v>
      </c>
      <c r="L335" t="s">
        <v>47</v>
      </c>
      <c r="M335" s="44" t="str">
        <f t="shared" si="5"/>
        <v>8 hr |</v>
      </c>
    </row>
    <row r="336" spans="1:13" x14ac:dyDescent="0.25">
      <c r="A336" t="s">
        <v>161</v>
      </c>
      <c r="B336" t="s">
        <v>113</v>
      </c>
      <c r="C336" t="s">
        <v>28</v>
      </c>
      <c r="D336" s="1">
        <v>0.625</v>
      </c>
      <c r="E336" s="1">
        <v>0.95833333333333337</v>
      </c>
      <c r="F336">
        <v>27.22</v>
      </c>
      <c r="G336">
        <v>217.76</v>
      </c>
      <c r="H336">
        <v>8</v>
      </c>
      <c r="K336" t="s">
        <v>52</v>
      </c>
      <c r="L336" t="s">
        <v>47</v>
      </c>
      <c r="M336" s="44" t="str">
        <f t="shared" si="5"/>
        <v>8 hr |</v>
      </c>
    </row>
    <row r="337" spans="1:13" x14ac:dyDescent="0.25">
      <c r="A337" t="s">
        <v>161</v>
      </c>
      <c r="B337" t="s">
        <v>157</v>
      </c>
      <c r="C337" t="s">
        <v>46</v>
      </c>
      <c r="D337" s="1">
        <v>0.625</v>
      </c>
      <c r="E337" s="1">
        <v>0.95833333333333337</v>
      </c>
      <c r="F337">
        <v>26.88</v>
      </c>
      <c r="G337">
        <v>215.04</v>
      </c>
      <c r="H337">
        <v>8</v>
      </c>
      <c r="I337">
        <v>518</v>
      </c>
      <c r="J337" t="s">
        <v>15</v>
      </c>
      <c r="K337" t="s">
        <v>20</v>
      </c>
      <c r="L337" t="s">
        <v>30</v>
      </c>
      <c r="M337" s="44" t="str">
        <f t="shared" si="5"/>
        <v>8 hr |</v>
      </c>
    </row>
    <row r="338" spans="1:13" x14ac:dyDescent="0.25">
      <c r="A338" t="s">
        <v>161</v>
      </c>
      <c r="B338" t="s">
        <v>111</v>
      </c>
      <c r="C338" t="s">
        <v>32</v>
      </c>
      <c r="D338" s="1">
        <v>0.625</v>
      </c>
      <c r="E338" s="1">
        <v>0.95833333333333337</v>
      </c>
      <c r="F338">
        <v>27.22</v>
      </c>
      <c r="G338">
        <v>217.76</v>
      </c>
      <c r="H338">
        <v>8</v>
      </c>
      <c r="I338">
        <v>318</v>
      </c>
      <c r="J338" t="s">
        <v>15</v>
      </c>
      <c r="K338" t="s">
        <v>52</v>
      </c>
      <c r="L338" t="s">
        <v>30</v>
      </c>
      <c r="M338" s="44" t="str">
        <f t="shared" si="5"/>
        <v>8 hr |</v>
      </c>
    </row>
    <row r="339" spans="1:13" x14ac:dyDescent="0.25">
      <c r="A339" t="s">
        <v>161</v>
      </c>
      <c r="B339" t="s">
        <v>146</v>
      </c>
      <c r="C339" t="s">
        <v>32</v>
      </c>
      <c r="D339" s="1">
        <v>0.625</v>
      </c>
      <c r="E339" s="1">
        <v>0.95833333333333337</v>
      </c>
      <c r="F339">
        <v>27.22</v>
      </c>
      <c r="G339">
        <v>217.76</v>
      </c>
      <c r="H339">
        <v>8</v>
      </c>
      <c r="I339" t="s">
        <v>142</v>
      </c>
      <c r="J339" t="s">
        <v>15</v>
      </c>
      <c r="K339" t="s">
        <v>52</v>
      </c>
      <c r="L339" t="s">
        <v>30</v>
      </c>
      <c r="M339" s="44" t="str">
        <f t="shared" si="5"/>
        <v>8 hr |</v>
      </c>
    </row>
    <row r="340" spans="1:13" x14ac:dyDescent="0.25">
      <c r="A340" t="s">
        <v>161</v>
      </c>
      <c r="B340" t="s">
        <v>131</v>
      </c>
      <c r="C340" t="s">
        <v>14</v>
      </c>
      <c r="D340" s="1">
        <v>0.66666666666666663</v>
      </c>
      <c r="E340" s="1">
        <v>0.91666666666666663</v>
      </c>
      <c r="F340">
        <v>30.5</v>
      </c>
      <c r="G340">
        <v>183</v>
      </c>
      <c r="H340">
        <v>6</v>
      </c>
      <c r="J340" t="s">
        <v>15</v>
      </c>
      <c r="K340" t="s">
        <v>42</v>
      </c>
      <c r="L340" t="s">
        <v>47</v>
      </c>
      <c r="M340" s="44" t="str">
        <f t="shared" si="5"/>
        <v>6 hr |</v>
      </c>
    </row>
    <row r="341" spans="1:13" x14ac:dyDescent="0.25">
      <c r="A341" t="s">
        <v>161</v>
      </c>
      <c r="B341" t="s">
        <v>126</v>
      </c>
      <c r="C341" t="s">
        <v>127</v>
      </c>
      <c r="D341" s="1">
        <v>0.66666666666666663</v>
      </c>
      <c r="E341" s="1">
        <v>0.95833333333333337</v>
      </c>
      <c r="F341">
        <v>31.42</v>
      </c>
      <c r="G341">
        <v>219.94</v>
      </c>
      <c r="H341">
        <v>7</v>
      </c>
      <c r="K341" t="s">
        <v>56</v>
      </c>
      <c r="L341" t="s">
        <v>17</v>
      </c>
      <c r="M341" s="44" t="str">
        <f t="shared" si="5"/>
        <v>7 hr |</v>
      </c>
    </row>
    <row r="342" spans="1:13" x14ac:dyDescent="0.25">
      <c r="A342" t="s">
        <v>161</v>
      </c>
      <c r="B342" t="s">
        <v>79</v>
      </c>
      <c r="C342" t="s">
        <v>75</v>
      </c>
      <c r="D342" s="1">
        <v>0.70833333333333337</v>
      </c>
      <c r="E342" s="1">
        <v>0.95833333333333337</v>
      </c>
      <c r="F342">
        <v>27.22</v>
      </c>
      <c r="G342">
        <v>163.32</v>
      </c>
      <c r="H342">
        <v>6</v>
      </c>
      <c r="K342" t="s">
        <v>29</v>
      </c>
      <c r="L342" t="s">
        <v>37</v>
      </c>
      <c r="M342" s="44" t="str">
        <f t="shared" si="5"/>
        <v>6 hr |</v>
      </c>
    </row>
    <row r="343" spans="1:13" x14ac:dyDescent="0.25">
      <c r="A343" t="s">
        <v>161</v>
      </c>
      <c r="B343" t="s">
        <v>40</v>
      </c>
      <c r="C343" t="s">
        <v>44</v>
      </c>
      <c r="D343" s="1">
        <v>0.70833333333333337</v>
      </c>
      <c r="E343" s="1">
        <v>0.875</v>
      </c>
      <c r="F343">
        <v>26.88</v>
      </c>
      <c r="G343">
        <v>107.52</v>
      </c>
      <c r="H343">
        <v>4</v>
      </c>
      <c r="J343" t="s">
        <v>15</v>
      </c>
      <c r="K343" t="s">
        <v>16</v>
      </c>
      <c r="L343" t="s">
        <v>17</v>
      </c>
      <c r="M343" s="44" t="str">
        <f t="shared" si="5"/>
        <v>4 hr |</v>
      </c>
    </row>
    <row r="344" spans="1:13" x14ac:dyDescent="0.25">
      <c r="A344" t="s">
        <v>161</v>
      </c>
      <c r="B344" t="s">
        <v>119</v>
      </c>
      <c r="C344" t="s">
        <v>46</v>
      </c>
      <c r="D344" s="1">
        <v>0.70833333333333337</v>
      </c>
      <c r="E344" s="1">
        <v>0.95833333333333337</v>
      </c>
      <c r="F344">
        <v>27.22</v>
      </c>
      <c r="G344">
        <v>163.32</v>
      </c>
      <c r="H344">
        <v>6</v>
      </c>
      <c r="I344">
        <v>401</v>
      </c>
      <c r="J344" t="s">
        <v>15</v>
      </c>
      <c r="K344" t="s">
        <v>29</v>
      </c>
      <c r="L344" t="s">
        <v>47</v>
      </c>
      <c r="M344" s="44" t="str">
        <f t="shared" si="5"/>
        <v>6 hr |</v>
      </c>
    </row>
    <row r="345" spans="1:13" x14ac:dyDescent="0.25">
      <c r="A345" t="s">
        <v>161</v>
      </c>
      <c r="B345" t="s">
        <v>122</v>
      </c>
      <c r="C345" t="s">
        <v>46</v>
      </c>
      <c r="D345" s="1">
        <v>0.70833333333333337</v>
      </c>
      <c r="E345" s="1">
        <v>0.95833333333333337</v>
      </c>
      <c r="F345">
        <v>27.22</v>
      </c>
      <c r="G345">
        <v>163.32</v>
      </c>
      <c r="H345">
        <v>6</v>
      </c>
      <c r="I345">
        <v>411</v>
      </c>
      <c r="J345" t="s">
        <v>15</v>
      </c>
      <c r="K345" t="s">
        <v>29</v>
      </c>
      <c r="L345" t="s">
        <v>47</v>
      </c>
      <c r="M345" s="44" t="str">
        <f t="shared" si="5"/>
        <v>6 hr |</v>
      </c>
    </row>
    <row r="346" spans="1:13" x14ac:dyDescent="0.25">
      <c r="A346" t="s">
        <v>161</v>
      </c>
      <c r="B346" t="s">
        <v>84</v>
      </c>
      <c r="C346" t="s">
        <v>49</v>
      </c>
      <c r="D346" s="1">
        <v>0.70833333333333337</v>
      </c>
      <c r="E346" s="1">
        <v>0.95833333333333337</v>
      </c>
      <c r="F346">
        <v>26.88</v>
      </c>
      <c r="G346">
        <v>161.28</v>
      </c>
      <c r="H346">
        <v>6</v>
      </c>
      <c r="I346" t="s">
        <v>50</v>
      </c>
      <c r="K346" t="s">
        <v>42</v>
      </c>
      <c r="L346" t="s">
        <v>47</v>
      </c>
      <c r="M346" s="44" t="str">
        <f t="shared" si="5"/>
        <v>6 hr |</v>
      </c>
    </row>
    <row r="347" spans="1:13" x14ac:dyDescent="0.25">
      <c r="A347" t="s">
        <v>161</v>
      </c>
      <c r="B347" t="s">
        <v>90</v>
      </c>
      <c r="C347" t="s">
        <v>22</v>
      </c>
      <c r="D347" s="1">
        <v>0.70833333333333337</v>
      </c>
      <c r="E347" s="1">
        <v>0.95833333333333337</v>
      </c>
      <c r="F347">
        <v>26.88</v>
      </c>
      <c r="G347">
        <v>161.28</v>
      </c>
      <c r="H347">
        <v>6</v>
      </c>
      <c r="K347" t="s">
        <v>42</v>
      </c>
      <c r="L347" t="s">
        <v>23</v>
      </c>
      <c r="M347" s="44" t="str">
        <f t="shared" si="5"/>
        <v>6 hr |</v>
      </c>
    </row>
    <row r="348" spans="1:13" x14ac:dyDescent="0.25">
      <c r="A348" t="s">
        <v>161</v>
      </c>
      <c r="B348" t="s">
        <v>64</v>
      </c>
      <c r="C348" t="s">
        <v>91</v>
      </c>
      <c r="D348" s="1">
        <v>0.91666666666666663</v>
      </c>
      <c r="E348" s="1">
        <v>0.375</v>
      </c>
      <c r="F348">
        <v>31.17</v>
      </c>
      <c r="G348">
        <v>342.87</v>
      </c>
      <c r="H348">
        <v>11</v>
      </c>
      <c r="K348" t="s">
        <v>168</v>
      </c>
      <c r="L348" t="s">
        <v>57</v>
      </c>
      <c r="M348" s="44" t="str">
        <f t="shared" si="5"/>
        <v>11 hr |</v>
      </c>
    </row>
    <row r="349" spans="1:13" x14ac:dyDescent="0.25">
      <c r="A349" t="s">
        <v>161</v>
      </c>
      <c r="B349" t="s">
        <v>139</v>
      </c>
      <c r="C349" t="s">
        <v>44</v>
      </c>
      <c r="D349" s="1">
        <v>0.95833333333333337</v>
      </c>
      <c r="E349" s="1">
        <v>0.375</v>
      </c>
      <c r="F349">
        <v>163.1</v>
      </c>
      <c r="G349">
        <v>244.76</v>
      </c>
      <c r="H349">
        <v>10</v>
      </c>
      <c r="J349" t="s">
        <v>88</v>
      </c>
      <c r="K349" t="s">
        <v>140</v>
      </c>
      <c r="L349" t="s">
        <v>17</v>
      </c>
      <c r="M349" s="44" t="str">
        <f t="shared" si="5"/>
        <v>shift | 02 - HOURLY-MEDS: 3 hr |</v>
      </c>
    </row>
    <row r="350" spans="1:13" x14ac:dyDescent="0.25">
      <c r="A350" t="s">
        <v>161</v>
      </c>
      <c r="B350" t="s">
        <v>66</v>
      </c>
      <c r="C350" t="s">
        <v>46</v>
      </c>
      <c r="D350" s="1">
        <v>0.95833333333333337</v>
      </c>
      <c r="E350" s="1">
        <v>0.375</v>
      </c>
      <c r="F350">
        <v>26.88</v>
      </c>
      <c r="G350">
        <v>268.8</v>
      </c>
      <c r="H350">
        <v>10</v>
      </c>
      <c r="I350">
        <v>318</v>
      </c>
      <c r="J350" t="s">
        <v>15</v>
      </c>
      <c r="K350" t="s">
        <v>97</v>
      </c>
      <c r="L350" t="s">
        <v>17</v>
      </c>
      <c r="M350" s="44" t="str">
        <f t="shared" si="5"/>
        <v>10 hr |</v>
      </c>
    </row>
    <row r="351" spans="1:13" x14ac:dyDescent="0.25">
      <c r="A351" t="s">
        <v>161</v>
      </c>
      <c r="B351" t="s">
        <v>141</v>
      </c>
      <c r="C351" t="s">
        <v>32</v>
      </c>
      <c r="D351" s="1">
        <v>0.95833333333333337</v>
      </c>
      <c r="E351" s="1">
        <v>0.375</v>
      </c>
      <c r="F351">
        <v>163.1</v>
      </c>
      <c r="G351">
        <v>244.76</v>
      </c>
      <c r="H351">
        <v>10</v>
      </c>
      <c r="I351" t="s">
        <v>142</v>
      </c>
      <c r="J351" t="s">
        <v>88</v>
      </c>
      <c r="K351" t="s">
        <v>140</v>
      </c>
      <c r="L351" t="s">
        <v>17</v>
      </c>
      <c r="M351" s="44" t="str">
        <f t="shared" si="5"/>
        <v>shift | 02 - HOURLY-MEDS: 3 hr |</v>
      </c>
    </row>
    <row r="352" spans="1:13" x14ac:dyDescent="0.25">
      <c r="A352" t="s">
        <v>161</v>
      </c>
      <c r="B352" t="s">
        <v>112</v>
      </c>
      <c r="C352" t="s">
        <v>32</v>
      </c>
      <c r="D352" s="1">
        <v>0.95833333333333337</v>
      </c>
      <c r="E352" s="1">
        <v>0.375</v>
      </c>
      <c r="F352">
        <v>27.22</v>
      </c>
      <c r="G352">
        <v>272.2</v>
      </c>
      <c r="H352">
        <v>10</v>
      </c>
      <c r="I352">
        <v>318</v>
      </c>
      <c r="J352" t="s">
        <v>15</v>
      </c>
      <c r="K352" t="s">
        <v>94</v>
      </c>
      <c r="L352" t="s">
        <v>17</v>
      </c>
      <c r="M352" s="44" t="str">
        <f t="shared" si="5"/>
        <v>10 hr |</v>
      </c>
    </row>
    <row r="353" spans="1:13" x14ac:dyDescent="0.25">
      <c r="A353" t="s">
        <v>161</v>
      </c>
      <c r="B353" t="s">
        <v>81</v>
      </c>
      <c r="C353" t="s">
        <v>28</v>
      </c>
      <c r="D353" s="1">
        <v>0.95833333333333337</v>
      </c>
      <c r="E353" s="1">
        <v>0.375</v>
      </c>
      <c r="F353">
        <v>26.88</v>
      </c>
      <c r="G353">
        <v>268.8</v>
      </c>
      <c r="H353">
        <v>10</v>
      </c>
      <c r="K353" t="s">
        <v>97</v>
      </c>
      <c r="L353" t="s">
        <v>47</v>
      </c>
      <c r="M353" s="44" t="str">
        <f t="shared" si="5"/>
        <v>10 hr |</v>
      </c>
    </row>
    <row r="354" spans="1:13" x14ac:dyDescent="0.25">
      <c r="A354" t="s">
        <v>161</v>
      </c>
      <c r="B354" t="s">
        <v>169</v>
      </c>
      <c r="C354" t="s">
        <v>55</v>
      </c>
      <c r="D354" s="1">
        <v>0.95833333333333337</v>
      </c>
      <c r="E354" s="1">
        <v>0.375</v>
      </c>
      <c r="F354">
        <v>26.88</v>
      </c>
      <c r="G354">
        <v>268.8</v>
      </c>
      <c r="H354">
        <v>10</v>
      </c>
      <c r="K354" t="s">
        <v>97</v>
      </c>
      <c r="L354" t="s">
        <v>30</v>
      </c>
      <c r="M354" s="44" t="str">
        <f t="shared" si="5"/>
        <v>10 hr |</v>
      </c>
    </row>
    <row r="355" spans="1:13" x14ac:dyDescent="0.25">
      <c r="A355" t="s">
        <v>161</v>
      </c>
      <c r="B355" t="s">
        <v>96</v>
      </c>
      <c r="C355" t="s">
        <v>35</v>
      </c>
      <c r="D355" s="1">
        <v>0.95833333333333337</v>
      </c>
      <c r="E355" s="1">
        <v>0.375</v>
      </c>
      <c r="F355">
        <v>26.88</v>
      </c>
      <c r="G355">
        <v>268.8</v>
      </c>
      <c r="H355">
        <v>10</v>
      </c>
      <c r="J355" t="s">
        <v>15</v>
      </c>
      <c r="K355" t="s">
        <v>97</v>
      </c>
      <c r="L355" t="s">
        <v>30</v>
      </c>
      <c r="M355" s="44" t="str">
        <f t="shared" si="5"/>
        <v>10 hr |</v>
      </c>
    </row>
    <row r="356" spans="1:13" x14ac:dyDescent="0.25">
      <c r="A356" t="s">
        <v>161</v>
      </c>
      <c r="B356" t="s">
        <v>95</v>
      </c>
      <c r="C356" t="s">
        <v>46</v>
      </c>
      <c r="D356" s="1">
        <v>0.95833333333333337</v>
      </c>
      <c r="E356" s="1">
        <v>0.375</v>
      </c>
      <c r="F356">
        <v>27.22</v>
      </c>
      <c r="G356">
        <v>272.2</v>
      </c>
      <c r="H356">
        <v>10</v>
      </c>
      <c r="I356" t="s">
        <v>170</v>
      </c>
      <c r="J356" t="s">
        <v>15</v>
      </c>
      <c r="K356" t="s">
        <v>94</v>
      </c>
      <c r="L356" t="s">
        <v>30</v>
      </c>
      <c r="M356" s="44" t="str">
        <f t="shared" si="5"/>
        <v>10 hr |</v>
      </c>
    </row>
    <row r="357" spans="1:13" x14ac:dyDescent="0.25">
      <c r="A357" t="s">
        <v>171</v>
      </c>
      <c r="B357" t="s">
        <v>13</v>
      </c>
      <c r="C357" t="s">
        <v>14</v>
      </c>
      <c r="D357" s="1">
        <v>0.25</v>
      </c>
      <c r="E357" s="1">
        <v>0.41666666666666669</v>
      </c>
      <c r="F357">
        <v>30.5</v>
      </c>
      <c r="G357">
        <v>122</v>
      </c>
      <c r="H357">
        <v>4</v>
      </c>
      <c r="J357" t="s">
        <v>15</v>
      </c>
      <c r="K357" t="s">
        <v>16</v>
      </c>
      <c r="L357" t="s">
        <v>47</v>
      </c>
      <c r="M357" s="44" t="str">
        <f t="shared" si="5"/>
        <v>4 hr |</v>
      </c>
    </row>
    <row r="358" spans="1:13" x14ac:dyDescent="0.25">
      <c r="A358" t="s">
        <v>171</v>
      </c>
      <c r="B358" t="s">
        <v>45</v>
      </c>
      <c r="C358" t="s">
        <v>46</v>
      </c>
      <c r="D358" s="1">
        <v>0.25</v>
      </c>
      <c r="E358" s="1">
        <v>0.41666666666666669</v>
      </c>
      <c r="F358">
        <v>27.22</v>
      </c>
      <c r="G358">
        <v>108.88</v>
      </c>
      <c r="H358">
        <v>4</v>
      </c>
      <c r="I358">
        <v>504</v>
      </c>
      <c r="J358" t="s">
        <v>15</v>
      </c>
      <c r="K358" t="s">
        <v>68</v>
      </c>
      <c r="L358" t="s">
        <v>47</v>
      </c>
      <c r="M358" s="44" t="str">
        <f t="shared" si="5"/>
        <v>4 hr |</v>
      </c>
    </row>
    <row r="359" spans="1:13" x14ac:dyDescent="0.25">
      <c r="A359" t="s">
        <v>171</v>
      </c>
      <c r="B359" t="s">
        <v>67</v>
      </c>
      <c r="C359" t="s">
        <v>22</v>
      </c>
      <c r="D359" s="1">
        <v>0.29166666666666669</v>
      </c>
      <c r="E359" s="1">
        <v>0.625</v>
      </c>
      <c r="F359">
        <v>27.22</v>
      </c>
      <c r="G359">
        <v>0</v>
      </c>
      <c r="H359">
        <v>8</v>
      </c>
      <c r="K359" t="s">
        <v>52</v>
      </c>
      <c r="L359" t="s">
        <v>23</v>
      </c>
      <c r="M359" s="44" t="str">
        <f t="shared" si="5"/>
        <v>8 hr |</v>
      </c>
    </row>
    <row r="360" spans="1:13" x14ac:dyDescent="0.25">
      <c r="A360" t="s">
        <v>171</v>
      </c>
      <c r="B360" t="s">
        <v>27</v>
      </c>
      <c r="C360" t="s">
        <v>22</v>
      </c>
      <c r="D360" s="1">
        <v>0.29166666666666669</v>
      </c>
      <c r="E360" s="1">
        <v>0.5</v>
      </c>
      <c r="F360">
        <v>27.22</v>
      </c>
      <c r="G360">
        <v>136.1</v>
      </c>
      <c r="H360">
        <v>5</v>
      </c>
      <c r="K360" t="s">
        <v>158</v>
      </c>
      <c r="L360" t="s">
        <v>23</v>
      </c>
      <c r="M360" s="44" t="str">
        <f t="shared" si="5"/>
        <v>5 hr |</v>
      </c>
    </row>
    <row r="361" spans="1:13" x14ac:dyDescent="0.25">
      <c r="A361" t="s">
        <v>171</v>
      </c>
      <c r="B361" t="s">
        <v>18</v>
      </c>
      <c r="C361" t="s">
        <v>19</v>
      </c>
      <c r="D361" s="1">
        <v>0.29166666666666669</v>
      </c>
      <c r="E361" s="1">
        <v>0.45833333333333331</v>
      </c>
      <c r="F361">
        <v>29</v>
      </c>
      <c r="G361">
        <v>0</v>
      </c>
      <c r="H361">
        <v>4</v>
      </c>
      <c r="K361" t="s">
        <v>16</v>
      </c>
      <c r="L361" t="s">
        <v>30</v>
      </c>
      <c r="M361" s="44" t="str">
        <f t="shared" si="5"/>
        <v>4 hr |</v>
      </c>
    </row>
    <row r="362" spans="1:13" x14ac:dyDescent="0.25">
      <c r="A362" t="s">
        <v>171</v>
      </c>
      <c r="B362" t="s">
        <v>25</v>
      </c>
      <c r="C362" t="s">
        <v>26</v>
      </c>
      <c r="D362" s="1">
        <v>0.33333333333333331</v>
      </c>
      <c r="E362" s="1">
        <v>0.5</v>
      </c>
      <c r="F362">
        <v>26.88</v>
      </c>
      <c r="G362">
        <v>0</v>
      </c>
      <c r="H362">
        <v>4</v>
      </c>
      <c r="J362" t="s">
        <v>15</v>
      </c>
      <c r="K362" t="s">
        <v>16</v>
      </c>
      <c r="L362" t="s">
        <v>47</v>
      </c>
      <c r="M362" s="44" t="str">
        <f t="shared" si="5"/>
        <v>4 hr |</v>
      </c>
    </row>
    <row r="363" spans="1:13" x14ac:dyDescent="0.25">
      <c r="A363" t="s">
        <v>171</v>
      </c>
      <c r="B363" t="s">
        <v>34</v>
      </c>
      <c r="C363" t="s">
        <v>35</v>
      </c>
      <c r="D363" s="1">
        <v>0.35416666666666669</v>
      </c>
      <c r="E363" s="1">
        <v>0.66666666666666663</v>
      </c>
      <c r="F363">
        <v>27.22</v>
      </c>
      <c r="G363">
        <v>204.15</v>
      </c>
      <c r="H363">
        <v>7.5</v>
      </c>
      <c r="J363" t="s">
        <v>15</v>
      </c>
      <c r="K363" t="s">
        <v>36</v>
      </c>
      <c r="L363" t="s">
        <v>17</v>
      </c>
      <c r="M363" s="44" t="str">
        <f t="shared" si="5"/>
        <v>7.5 hr |</v>
      </c>
    </row>
    <row r="364" spans="1:13" x14ac:dyDescent="0.25">
      <c r="A364" t="s">
        <v>171</v>
      </c>
      <c r="B364" t="s">
        <v>84</v>
      </c>
      <c r="C364" t="s">
        <v>49</v>
      </c>
      <c r="D364" s="1">
        <v>0.375</v>
      </c>
      <c r="E364" s="1">
        <v>0.625</v>
      </c>
      <c r="F364">
        <v>26.88</v>
      </c>
      <c r="G364">
        <v>0</v>
      </c>
      <c r="H364">
        <v>6</v>
      </c>
      <c r="I364" t="s">
        <v>50</v>
      </c>
      <c r="K364" t="s">
        <v>42</v>
      </c>
      <c r="L364" t="s">
        <v>47</v>
      </c>
      <c r="M364" s="44" t="str">
        <f t="shared" si="5"/>
        <v>6 hr |</v>
      </c>
    </row>
    <row r="365" spans="1:13" x14ac:dyDescent="0.25">
      <c r="A365" t="s">
        <v>171</v>
      </c>
      <c r="B365" t="s">
        <v>54</v>
      </c>
      <c r="C365" t="s">
        <v>55</v>
      </c>
      <c r="D365" s="1">
        <v>0.375</v>
      </c>
      <c r="E365" s="1">
        <v>0.70833333333333337</v>
      </c>
      <c r="F365">
        <v>26.88</v>
      </c>
      <c r="G365">
        <v>0</v>
      </c>
      <c r="H365">
        <v>8</v>
      </c>
      <c r="K365" t="s">
        <v>20</v>
      </c>
      <c r="L365" t="s">
        <v>57</v>
      </c>
      <c r="M365" s="44" t="str">
        <f t="shared" si="5"/>
        <v>8 hr |</v>
      </c>
    </row>
    <row r="366" spans="1:13" x14ac:dyDescent="0.25">
      <c r="A366" t="s">
        <v>171</v>
      </c>
      <c r="B366" t="s">
        <v>81</v>
      </c>
      <c r="C366" t="s">
        <v>35</v>
      </c>
      <c r="D366" s="1">
        <v>0.375</v>
      </c>
      <c r="E366" s="1">
        <v>0.66666666666666663</v>
      </c>
      <c r="F366">
        <v>26.88</v>
      </c>
      <c r="G366">
        <v>0</v>
      </c>
      <c r="H366">
        <v>7</v>
      </c>
      <c r="J366" t="s">
        <v>15</v>
      </c>
      <c r="K366" t="s">
        <v>56</v>
      </c>
      <c r="L366" t="s">
        <v>17</v>
      </c>
      <c r="M366" s="44" t="str">
        <f t="shared" si="5"/>
        <v>7 hr |</v>
      </c>
    </row>
    <row r="367" spans="1:13" x14ac:dyDescent="0.25">
      <c r="A367" t="s">
        <v>171</v>
      </c>
      <c r="B367" t="s">
        <v>116</v>
      </c>
      <c r="C367" t="s">
        <v>46</v>
      </c>
      <c r="D367" s="1">
        <v>0.375</v>
      </c>
      <c r="E367" s="1">
        <v>0.625</v>
      </c>
      <c r="F367">
        <v>26.88</v>
      </c>
      <c r="G367">
        <v>0</v>
      </c>
      <c r="H367">
        <v>6</v>
      </c>
      <c r="I367">
        <v>518</v>
      </c>
      <c r="J367" t="s">
        <v>15</v>
      </c>
      <c r="K367" t="s">
        <v>42</v>
      </c>
      <c r="L367" t="s">
        <v>47</v>
      </c>
      <c r="M367" s="44" t="str">
        <f t="shared" si="5"/>
        <v>6 hr |</v>
      </c>
    </row>
    <row r="368" spans="1:13" x14ac:dyDescent="0.25">
      <c r="A368" t="s">
        <v>171</v>
      </c>
      <c r="B368" t="s">
        <v>24</v>
      </c>
      <c r="C368" t="s">
        <v>22</v>
      </c>
      <c r="D368" s="1">
        <v>0.375</v>
      </c>
      <c r="E368" s="1">
        <v>0.70833333333333337</v>
      </c>
      <c r="F368">
        <v>26.88</v>
      </c>
      <c r="G368">
        <v>0</v>
      </c>
      <c r="H368">
        <v>8</v>
      </c>
      <c r="K368" t="s">
        <v>20</v>
      </c>
      <c r="L368" t="s">
        <v>23</v>
      </c>
      <c r="M368" s="44" t="str">
        <f t="shared" si="5"/>
        <v>8 hr |</v>
      </c>
    </row>
    <row r="369" spans="1:13" x14ac:dyDescent="0.25">
      <c r="A369" t="s">
        <v>171</v>
      </c>
      <c r="B369" t="s">
        <v>60</v>
      </c>
      <c r="C369" t="s">
        <v>32</v>
      </c>
      <c r="D369" s="1">
        <v>0.375</v>
      </c>
      <c r="E369" s="1">
        <v>0.625</v>
      </c>
      <c r="F369">
        <v>27.22</v>
      </c>
      <c r="G369">
        <v>163.32</v>
      </c>
      <c r="H369">
        <v>6</v>
      </c>
      <c r="I369">
        <v>402</v>
      </c>
      <c r="J369" t="s">
        <v>15</v>
      </c>
      <c r="K369" t="s">
        <v>29</v>
      </c>
      <c r="L369" t="s">
        <v>17</v>
      </c>
      <c r="M369" s="44" t="str">
        <f t="shared" si="5"/>
        <v>6 hr |</v>
      </c>
    </row>
    <row r="370" spans="1:13" x14ac:dyDescent="0.25">
      <c r="A370" t="s">
        <v>171</v>
      </c>
      <c r="B370" t="s">
        <v>43</v>
      </c>
      <c r="C370" t="s">
        <v>41</v>
      </c>
      <c r="D370" s="1">
        <v>0.375</v>
      </c>
      <c r="E370" s="1">
        <v>0.625</v>
      </c>
      <c r="F370">
        <v>26.88</v>
      </c>
      <c r="G370">
        <v>0</v>
      </c>
      <c r="H370">
        <v>6</v>
      </c>
      <c r="K370" t="s">
        <v>42</v>
      </c>
      <c r="L370" t="s">
        <v>30</v>
      </c>
      <c r="M370" s="44" t="str">
        <f t="shared" si="5"/>
        <v>6 hr |</v>
      </c>
    </row>
    <row r="371" spans="1:13" x14ac:dyDescent="0.25">
      <c r="A371" t="s">
        <v>171</v>
      </c>
      <c r="B371" t="s">
        <v>31</v>
      </c>
      <c r="C371" t="s">
        <v>32</v>
      </c>
      <c r="D371" s="1">
        <v>0.375</v>
      </c>
      <c r="E371" s="1">
        <v>0.66666666666666663</v>
      </c>
      <c r="F371">
        <v>27.22</v>
      </c>
      <c r="G371">
        <v>0</v>
      </c>
      <c r="H371">
        <v>7</v>
      </c>
      <c r="I371">
        <v>218</v>
      </c>
      <c r="J371" t="s">
        <v>15</v>
      </c>
      <c r="K371" t="s">
        <v>33</v>
      </c>
      <c r="L371" t="s">
        <v>30</v>
      </c>
      <c r="M371" s="44" t="str">
        <f t="shared" si="5"/>
        <v>7 hr |</v>
      </c>
    </row>
    <row r="372" spans="1:13" x14ac:dyDescent="0.25">
      <c r="A372" t="s">
        <v>171</v>
      </c>
      <c r="B372" t="s">
        <v>62</v>
      </c>
      <c r="C372" t="s">
        <v>49</v>
      </c>
      <c r="D372" s="1">
        <v>0.375</v>
      </c>
      <c r="E372" s="1">
        <v>0.70833333333333337</v>
      </c>
      <c r="F372">
        <v>27.22</v>
      </c>
      <c r="G372">
        <v>217.76</v>
      </c>
      <c r="H372">
        <v>8</v>
      </c>
      <c r="I372" t="s">
        <v>172</v>
      </c>
      <c r="K372" t="s">
        <v>52</v>
      </c>
      <c r="L372" t="s">
        <v>30</v>
      </c>
      <c r="M372" s="44" t="str">
        <f t="shared" si="5"/>
        <v>8 hr |</v>
      </c>
    </row>
    <row r="373" spans="1:13" x14ac:dyDescent="0.25">
      <c r="A373" t="s">
        <v>171</v>
      </c>
      <c r="B373" t="s">
        <v>69</v>
      </c>
      <c r="C373" t="s">
        <v>70</v>
      </c>
      <c r="D373" s="1">
        <v>0.41666666666666669</v>
      </c>
      <c r="E373" s="1">
        <v>0.625</v>
      </c>
      <c r="F373">
        <v>30.5</v>
      </c>
      <c r="G373">
        <v>122</v>
      </c>
      <c r="H373">
        <v>5</v>
      </c>
      <c r="K373" t="s">
        <v>87</v>
      </c>
      <c r="L373" t="s">
        <v>57</v>
      </c>
      <c r="M373" s="44" t="str">
        <f t="shared" si="5"/>
        <v>5 hr |</v>
      </c>
    </row>
    <row r="374" spans="1:13" x14ac:dyDescent="0.25">
      <c r="A374" t="s">
        <v>171</v>
      </c>
      <c r="B374" t="s">
        <v>71</v>
      </c>
      <c r="C374" t="s">
        <v>70</v>
      </c>
      <c r="D374" s="1">
        <v>0.41666666666666669</v>
      </c>
      <c r="E374" s="1">
        <v>0.625</v>
      </c>
      <c r="F374">
        <v>30.5</v>
      </c>
      <c r="G374">
        <v>122</v>
      </c>
      <c r="H374">
        <v>5</v>
      </c>
      <c r="K374" t="s">
        <v>87</v>
      </c>
      <c r="L374" t="s">
        <v>57</v>
      </c>
      <c r="M374" s="44" t="str">
        <f t="shared" si="5"/>
        <v>5 hr |</v>
      </c>
    </row>
    <row r="375" spans="1:13" x14ac:dyDescent="0.25">
      <c r="A375" t="s">
        <v>171</v>
      </c>
      <c r="B375" t="s">
        <v>51</v>
      </c>
      <c r="C375" t="s">
        <v>22</v>
      </c>
      <c r="D375" s="1">
        <v>0.41666666666666669</v>
      </c>
      <c r="E375" s="1">
        <v>0.58333333333333337</v>
      </c>
      <c r="F375">
        <v>27.22</v>
      </c>
      <c r="G375">
        <v>108.88</v>
      </c>
      <c r="H375">
        <v>4</v>
      </c>
      <c r="K375" t="s">
        <v>68</v>
      </c>
      <c r="L375" t="s">
        <v>23</v>
      </c>
      <c r="M375" s="44" t="str">
        <f t="shared" si="5"/>
        <v>4 hr |</v>
      </c>
    </row>
    <row r="376" spans="1:13" x14ac:dyDescent="0.25">
      <c r="A376" t="s">
        <v>171</v>
      </c>
      <c r="B376" t="s">
        <v>72</v>
      </c>
      <c r="C376" t="s">
        <v>73</v>
      </c>
      <c r="D376" s="1">
        <v>0.45833333333333331</v>
      </c>
      <c r="E376" s="1">
        <v>0.66666666666666663</v>
      </c>
      <c r="F376">
        <v>22</v>
      </c>
      <c r="G376">
        <v>88</v>
      </c>
      <c r="H376">
        <v>5</v>
      </c>
      <c r="K376" t="s">
        <v>87</v>
      </c>
      <c r="L376" t="s">
        <v>47</v>
      </c>
      <c r="M376" s="44" t="str">
        <f t="shared" si="5"/>
        <v>5 hr |</v>
      </c>
    </row>
    <row r="377" spans="1:13" x14ac:dyDescent="0.25">
      <c r="A377" t="s">
        <v>171</v>
      </c>
      <c r="B377" t="s">
        <v>74</v>
      </c>
      <c r="C377" t="s">
        <v>75</v>
      </c>
      <c r="D377" s="1">
        <v>0.5</v>
      </c>
      <c r="E377" s="1">
        <v>0.79166666666666663</v>
      </c>
      <c r="F377">
        <v>26.88</v>
      </c>
      <c r="G377">
        <v>188.16</v>
      </c>
      <c r="H377">
        <v>7</v>
      </c>
      <c r="K377" t="s">
        <v>56</v>
      </c>
      <c r="L377" t="s">
        <v>30</v>
      </c>
      <c r="M377" s="44" t="str">
        <f t="shared" si="5"/>
        <v>7 hr |</v>
      </c>
    </row>
    <row r="378" spans="1:13" x14ac:dyDescent="0.25">
      <c r="A378" t="s">
        <v>171</v>
      </c>
      <c r="B378" t="s">
        <v>85</v>
      </c>
      <c r="C378" t="s">
        <v>28</v>
      </c>
      <c r="D378" s="1">
        <v>0.58333333333333337</v>
      </c>
      <c r="E378" s="1">
        <v>0.91666666666666663</v>
      </c>
      <c r="F378">
        <v>27.22</v>
      </c>
      <c r="G378">
        <v>217.76</v>
      </c>
      <c r="H378">
        <v>8</v>
      </c>
      <c r="K378" t="s">
        <v>52</v>
      </c>
      <c r="L378" t="s">
        <v>47</v>
      </c>
      <c r="M378" s="44" t="str">
        <f t="shared" si="5"/>
        <v>8 hr |</v>
      </c>
    </row>
    <row r="379" spans="1:13" x14ac:dyDescent="0.25">
      <c r="A379" t="s">
        <v>171</v>
      </c>
      <c r="B379" t="s">
        <v>101</v>
      </c>
      <c r="C379" t="s">
        <v>78</v>
      </c>
      <c r="D379" s="1">
        <v>0.625</v>
      </c>
      <c r="E379" s="1">
        <v>0.95833333333333337</v>
      </c>
      <c r="F379">
        <v>35</v>
      </c>
      <c r="G379">
        <v>0</v>
      </c>
      <c r="H379">
        <v>8</v>
      </c>
      <c r="K379" t="s">
        <v>20</v>
      </c>
      <c r="L379" t="s">
        <v>57</v>
      </c>
      <c r="M379" s="44" t="str">
        <f t="shared" si="5"/>
        <v>8 hr |</v>
      </c>
    </row>
    <row r="380" spans="1:13" x14ac:dyDescent="0.25">
      <c r="A380" t="s">
        <v>171</v>
      </c>
      <c r="B380" t="s">
        <v>102</v>
      </c>
      <c r="C380" t="s">
        <v>14</v>
      </c>
      <c r="D380" s="1">
        <v>0.625</v>
      </c>
      <c r="E380" s="1">
        <v>0.95833333333333337</v>
      </c>
      <c r="F380">
        <v>30.5</v>
      </c>
      <c r="G380">
        <v>0</v>
      </c>
      <c r="H380">
        <v>8</v>
      </c>
      <c r="J380" t="s">
        <v>15</v>
      </c>
      <c r="K380" t="s">
        <v>20</v>
      </c>
      <c r="L380" t="s">
        <v>47</v>
      </c>
      <c r="M380" s="44" t="str">
        <f t="shared" si="5"/>
        <v>8 hr |</v>
      </c>
    </row>
    <row r="381" spans="1:13" x14ac:dyDescent="0.25">
      <c r="A381" t="s">
        <v>171</v>
      </c>
      <c r="B381" t="s">
        <v>83</v>
      </c>
      <c r="C381" t="s">
        <v>46</v>
      </c>
      <c r="D381" s="1">
        <v>0.625</v>
      </c>
      <c r="E381" s="1">
        <v>0.95833333333333337</v>
      </c>
      <c r="F381">
        <v>27.22</v>
      </c>
      <c r="G381">
        <v>217.76</v>
      </c>
      <c r="H381">
        <v>8</v>
      </c>
      <c r="I381">
        <v>418</v>
      </c>
      <c r="J381" t="s">
        <v>15</v>
      </c>
      <c r="K381" t="s">
        <v>52</v>
      </c>
      <c r="L381" t="s">
        <v>47</v>
      </c>
      <c r="M381" s="44" t="str">
        <f t="shared" si="5"/>
        <v>8 hr |</v>
      </c>
    </row>
    <row r="382" spans="1:13" x14ac:dyDescent="0.25">
      <c r="A382" t="s">
        <v>171</v>
      </c>
      <c r="B382" t="s">
        <v>51</v>
      </c>
      <c r="C382" t="s">
        <v>22</v>
      </c>
      <c r="D382" s="1">
        <v>0.625</v>
      </c>
      <c r="E382" s="1">
        <v>0.95833333333333337</v>
      </c>
      <c r="F382">
        <v>27.22</v>
      </c>
      <c r="G382">
        <v>217.76</v>
      </c>
      <c r="H382">
        <v>8</v>
      </c>
      <c r="K382" t="s">
        <v>52</v>
      </c>
      <c r="L382" t="s">
        <v>23</v>
      </c>
      <c r="M382" s="44" t="str">
        <f t="shared" si="5"/>
        <v>8 hr |</v>
      </c>
    </row>
    <row r="383" spans="1:13" x14ac:dyDescent="0.25">
      <c r="A383" t="s">
        <v>171</v>
      </c>
      <c r="B383" t="s">
        <v>131</v>
      </c>
      <c r="C383" t="s">
        <v>14</v>
      </c>
      <c r="D383" s="1">
        <v>0.625</v>
      </c>
      <c r="E383" s="1">
        <v>0.95833333333333337</v>
      </c>
      <c r="F383">
        <v>30.5</v>
      </c>
      <c r="G383">
        <v>0</v>
      </c>
      <c r="H383">
        <v>8</v>
      </c>
      <c r="J383" t="s">
        <v>15</v>
      </c>
      <c r="K383" t="s">
        <v>20</v>
      </c>
      <c r="L383" t="s">
        <v>17</v>
      </c>
      <c r="M383" s="44" t="str">
        <f t="shared" si="5"/>
        <v>8 hr |</v>
      </c>
    </row>
    <row r="384" spans="1:13" x14ac:dyDescent="0.25">
      <c r="A384" t="s">
        <v>171</v>
      </c>
      <c r="B384" t="s">
        <v>38</v>
      </c>
      <c r="C384" t="s">
        <v>35</v>
      </c>
      <c r="D384" s="1">
        <v>0.66666666666666663</v>
      </c>
      <c r="E384" s="1">
        <v>0.95833333333333337</v>
      </c>
      <c r="F384">
        <v>26.88</v>
      </c>
      <c r="G384">
        <v>0</v>
      </c>
      <c r="H384">
        <v>7</v>
      </c>
      <c r="J384" t="s">
        <v>15</v>
      </c>
      <c r="K384" t="s">
        <v>56</v>
      </c>
      <c r="L384" t="s">
        <v>17</v>
      </c>
      <c r="M384" s="44" t="str">
        <f t="shared" si="5"/>
        <v>7 hr |</v>
      </c>
    </row>
    <row r="385" spans="1:13" x14ac:dyDescent="0.25">
      <c r="A385" t="s">
        <v>171</v>
      </c>
      <c r="B385" t="s">
        <v>111</v>
      </c>
      <c r="C385" t="s">
        <v>32</v>
      </c>
      <c r="D385" s="1">
        <v>0.66666666666666663</v>
      </c>
      <c r="E385" s="1">
        <v>0.95833333333333337</v>
      </c>
      <c r="F385">
        <v>26.88</v>
      </c>
      <c r="G385">
        <v>188.16</v>
      </c>
      <c r="H385">
        <v>7</v>
      </c>
      <c r="I385">
        <v>318</v>
      </c>
      <c r="J385" t="s">
        <v>15</v>
      </c>
      <c r="K385" t="s">
        <v>56</v>
      </c>
      <c r="L385" t="s">
        <v>17</v>
      </c>
      <c r="M385" s="44" t="str">
        <f t="shared" si="5"/>
        <v>7 hr |</v>
      </c>
    </row>
    <row r="386" spans="1:13" x14ac:dyDescent="0.25">
      <c r="A386" t="s">
        <v>171</v>
      </c>
      <c r="B386" t="s">
        <v>48</v>
      </c>
      <c r="C386" t="s">
        <v>49</v>
      </c>
      <c r="D386" s="1">
        <v>0.70833333333333337</v>
      </c>
      <c r="E386" s="1">
        <v>0.95833333333333337</v>
      </c>
      <c r="F386">
        <v>26.88</v>
      </c>
      <c r="G386">
        <v>0</v>
      </c>
      <c r="H386">
        <v>6</v>
      </c>
      <c r="I386" t="s">
        <v>50</v>
      </c>
      <c r="K386" t="s">
        <v>42</v>
      </c>
      <c r="L386" t="s">
        <v>47</v>
      </c>
      <c r="M386" s="44" t="str">
        <f t="shared" si="5"/>
        <v>6 hr |</v>
      </c>
    </row>
    <row r="387" spans="1:13" x14ac:dyDescent="0.25">
      <c r="A387" t="s">
        <v>171</v>
      </c>
      <c r="B387" t="s">
        <v>82</v>
      </c>
      <c r="C387" t="s">
        <v>75</v>
      </c>
      <c r="D387" s="1">
        <v>0.70833333333333337</v>
      </c>
      <c r="E387" s="1">
        <v>0.95833333333333337</v>
      </c>
      <c r="F387">
        <v>27.22</v>
      </c>
      <c r="G387">
        <v>163.32</v>
      </c>
      <c r="H387">
        <v>6</v>
      </c>
      <c r="K387" t="s">
        <v>29</v>
      </c>
      <c r="L387" t="s">
        <v>30</v>
      </c>
      <c r="M387" s="44" t="str">
        <f t="shared" ref="M387:M450" si="6">IF($K387="","",TRIM(MID($K387,FIND(":",$K387)+1,LEN($K387))))</f>
        <v>6 hr |</v>
      </c>
    </row>
    <row r="388" spans="1:13" x14ac:dyDescent="0.25">
      <c r="A388" t="s">
        <v>171</v>
      </c>
      <c r="B388" t="s">
        <v>107</v>
      </c>
      <c r="C388" t="s">
        <v>55</v>
      </c>
      <c r="D388" s="1">
        <v>0.70833333333333337</v>
      </c>
      <c r="E388" s="1">
        <v>0.91666666666666663</v>
      </c>
      <c r="F388">
        <v>26.88</v>
      </c>
      <c r="G388">
        <v>0</v>
      </c>
      <c r="H388">
        <v>5</v>
      </c>
      <c r="K388" t="s">
        <v>87</v>
      </c>
      <c r="L388" t="s">
        <v>57</v>
      </c>
      <c r="M388" s="44" t="str">
        <f t="shared" si="6"/>
        <v>5 hr |</v>
      </c>
    </row>
    <row r="389" spans="1:13" x14ac:dyDescent="0.25">
      <c r="A389" t="s">
        <v>171</v>
      </c>
      <c r="B389" t="s">
        <v>136</v>
      </c>
      <c r="C389" t="s">
        <v>46</v>
      </c>
      <c r="D389" s="1">
        <v>0.70833333333333337</v>
      </c>
      <c r="E389" s="1">
        <v>0.95833333333333337</v>
      </c>
      <c r="F389">
        <v>26.88</v>
      </c>
      <c r="G389">
        <v>0</v>
      </c>
      <c r="H389">
        <v>6</v>
      </c>
      <c r="I389">
        <v>411</v>
      </c>
      <c r="J389" t="s">
        <v>15</v>
      </c>
      <c r="K389" t="s">
        <v>42</v>
      </c>
      <c r="L389" t="s">
        <v>57</v>
      </c>
      <c r="M389" s="44" t="str">
        <f t="shared" si="6"/>
        <v>6 hr |</v>
      </c>
    </row>
    <row r="390" spans="1:13" x14ac:dyDescent="0.25">
      <c r="A390" t="s">
        <v>171</v>
      </c>
      <c r="B390" t="s">
        <v>34</v>
      </c>
      <c r="C390" t="s">
        <v>35</v>
      </c>
      <c r="D390" s="1">
        <v>0.70833333333333337</v>
      </c>
      <c r="E390" s="1">
        <v>0.95833333333333337</v>
      </c>
      <c r="F390">
        <v>27.22</v>
      </c>
      <c r="G390">
        <v>163.32</v>
      </c>
      <c r="H390">
        <v>6</v>
      </c>
      <c r="J390" t="s">
        <v>15</v>
      </c>
      <c r="K390" t="s">
        <v>29</v>
      </c>
      <c r="L390" t="s">
        <v>37</v>
      </c>
      <c r="M390" s="44" t="str">
        <f t="shared" si="6"/>
        <v>6 hr |</v>
      </c>
    </row>
    <row r="391" spans="1:13" x14ac:dyDescent="0.25">
      <c r="A391" t="s">
        <v>171</v>
      </c>
      <c r="B391" t="s">
        <v>79</v>
      </c>
      <c r="C391" t="s">
        <v>75</v>
      </c>
      <c r="D391" s="1">
        <v>0.95833333333333337</v>
      </c>
      <c r="E391" s="1">
        <v>0.375</v>
      </c>
      <c r="F391">
        <v>27.22</v>
      </c>
      <c r="G391">
        <v>272.2</v>
      </c>
      <c r="H391">
        <v>10</v>
      </c>
      <c r="K391" t="s">
        <v>94</v>
      </c>
      <c r="L391" t="s">
        <v>30</v>
      </c>
      <c r="M391" s="44" t="str">
        <f t="shared" si="6"/>
        <v>10 hr |</v>
      </c>
    </row>
    <row r="392" spans="1:13" x14ac:dyDescent="0.25">
      <c r="A392" t="s">
        <v>171</v>
      </c>
      <c r="B392" t="s">
        <v>13</v>
      </c>
      <c r="C392" t="s">
        <v>14</v>
      </c>
      <c r="D392" s="1">
        <v>0.95833333333333337</v>
      </c>
      <c r="E392" s="1">
        <v>0.29166666666666669</v>
      </c>
      <c r="F392">
        <v>30.5</v>
      </c>
      <c r="G392">
        <v>244</v>
      </c>
      <c r="H392">
        <v>8</v>
      </c>
      <c r="J392" t="s">
        <v>15</v>
      </c>
      <c r="K392" t="s">
        <v>20</v>
      </c>
      <c r="L392" t="s">
        <v>17</v>
      </c>
      <c r="M392" s="44" t="str">
        <f t="shared" si="6"/>
        <v>8 hr |</v>
      </c>
    </row>
    <row r="393" spans="1:13" x14ac:dyDescent="0.25">
      <c r="A393" t="s">
        <v>171</v>
      </c>
      <c r="B393" t="s">
        <v>124</v>
      </c>
      <c r="C393" t="s">
        <v>46</v>
      </c>
      <c r="D393" s="1">
        <v>0.95833333333333337</v>
      </c>
      <c r="E393" s="1">
        <v>0.375</v>
      </c>
      <c r="F393">
        <v>27.22</v>
      </c>
      <c r="G393">
        <v>272.2</v>
      </c>
      <c r="H393">
        <v>10</v>
      </c>
      <c r="I393" t="s">
        <v>99</v>
      </c>
      <c r="J393" t="s">
        <v>15</v>
      </c>
      <c r="K393" t="s">
        <v>94</v>
      </c>
      <c r="L393" t="s">
        <v>37</v>
      </c>
      <c r="M393" s="44" t="str">
        <f t="shared" si="6"/>
        <v>10 hr |</v>
      </c>
    </row>
    <row r="394" spans="1:13" x14ac:dyDescent="0.25">
      <c r="A394" t="s">
        <v>171</v>
      </c>
      <c r="B394" t="s">
        <v>62</v>
      </c>
      <c r="C394" t="s">
        <v>55</v>
      </c>
      <c r="D394" s="1">
        <v>0.95833333333333337</v>
      </c>
      <c r="E394" s="1">
        <v>0.375</v>
      </c>
      <c r="F394">
        <v>27.22</v>
      </c>
      <c r="G394">
        <v>272.2</v>
      </c>
      <c r="H394">
        <v>10</v>
      </c>
      <c r="K394" t="s">
        <v>94</v>
      </c>
      <c r="L394" t="s">
        <v>37</v>
      </c>
      <c r="M394" s="44" t="str">
        <f t="shared" si="6"/>
        <v>10 hr |</v>
      </c>
    </row>
    <row r="395" spans="1:13" x14ac:dyDescent="0.25">
      <c r="A395" t="s">
        <v>171</v>
      </c>
      <c r="B395" t="s">
        <v>131</v>
      </c>
      <c r="C395" t="s">
        <v>14</v>
      </c>
      <c r="D395" s="1">
        <v>0.95833333333333337</v>
      </c>
      <c r="E395" s="1">
        <v>0.29166666666666669</v>
      </c>
      <c r="F395">
        <v>30.5</v>
      </c>
      <c r="G395">
        <v>0</v>
      </c>
      <c r="H395">
        <v>8</v>
      </c>
      <c r="J395" t="s">
        <v>15</v>
      </c>
      <c r="K395" t="s">
        <v>20</v>
      </c>
      <c r="L395" t="s">
        <v>47</v>
      </c>
      <c r="M395" s="44" t="str">
        <f t="shared" si="6"/>
        <v>8 hr |</v>
      </c>
    </row>
    <row r="396" spans="1:13" x14ac:dyDescent="0.25">
      <c r="A396" t="s">
        <v>171</v>
      </c>
      <c r="B396" t="s">
        <v>66</v>
      </c>
      <c r="C396" t="s">
        <v>46</v>
      </c>
      <c r="D396" s="1">
        <v>0.95833333333333337</v>
      </c>
      <c r="E396" s="1">
        <v>0.375</v>
      </c>
      <c r="F396">
        <v>26.88</v>
      </c>
      <c r="G396">
        <v>0</v>
      </c>
      <c r="H396">
        <v>10</v>
      </c>
      <c r="I396">
        <v>318</v>
      </c>
      <c r="J396" t="s">
        <v>15</v>
      </c>
      <c r="K396" t="s">
        <v>97</v>
      </c>
      <c r="L396" t="s">
        <v>47</v>
      </c>
      <c r="M396" s="44" t="str">
        <f t="shared" si="6"/>
        <v>10 hr |</v>
      </c>
    </row>
    <row r="397" spans="1:13" x14ac:dyDescent="0.25">
      <c r="A397" t="s">
        <v>173</v>
      </c>
      <c r="B397" t="s">
        <v>77</v>
      </c>
      <c r="C397" t="s">
        <v>78</v>
      </c>
      <c r="D397" s="1">
        <v>0.29166666666666669</v>
      </c>
      <c r="E397" s="1">
        <v>0.625</v>
      </c>
      <c r="F397">
        <v>35</v>
      </c>
      <c r="G397">
        <v>0</v>
      </c>
      <c r="H397">
        <v>8</v>
      </c>
      <c r="K397" t="s">
        <v>20</v>
      </c>
      <c r="L397" t="s">
        <v>57</v>
      </c>
      <c r="M397" s="44" t="str">
        <f t="shared" si="6"/>
        <v>8 hr |</v>
      </c>
    </row>
    <row r="398" spans="1:13" x14ac:dyDescent="0.25">
      <c r="A398" t="s">
        <v>173</v>
      </c>
      <c r="B398" t="s">
        <v>151</v>
      </c>
      <c r="C398" t="s">
        <v>46</v>
      </c>
      <c r="D398" s="1">
        <v>0.29166666666666669</v>
      </c>
      <c r="E398" s="1">
        <v>0.45833333333333331</v>
      </c>
      <c r="F398">
        <v>26.88</v>
      </c>
      <c r="G398">
        <v>215.04</v>
      </c>
      <c r="H398">
        <v>4</v>
      </c>
      <c r="I398">
        <v>617</v>
      </c>
      <c r="J398" t="s">
        <v>15</v>
      </c>
      <c r="K398" t="s">
        <v>16</v>
      </c>
      <c r="L398" t="s">
        <v>37</v>
      </c>
      <c r="M398" s="44" t="str">
        <f t="shared" si="6"/>
        <v>4 hr |</v>
      </c>
    </row>
    <row r="399" spans="1:13" x14ac:dyDescent="0.25">
      <c r="A399" t="s">
        <v>173</v>
      </c>
      <c r="B399" t="s">
        <v>81</v>
      </c>
      <c r="C399" t="s">
        <v>35</v>
      </c>
      <c r="D399" s="1">
        <v>0.35416666666666669</v>
      </c>
      <c r="E399" s="1">
        <v>0.625</v>
      </c>
      <c r="F399">
        <v>26.88</v>
      </c>
      <c r="G399">
        <v>0</v>
      </c>
      <c r="H399">
        <v>6.5</v>
      </c>
      <c r="J399" t="s">
        <v>15</v>
      </c>
      <c r="K399" t="s">
        <v>104</v>
      </c>
      <c r="L399" t="s">
        <v>17</v>
      </c>
      <c r="M399" s="44" t="str">
        <f t="shared" si="6"/>
        <v>6.5 hr |</v>
      </c>
    </row>
    <row r="400" spans="1:13" x14ac:dyDescent="0.25">
      <c r="A400" t="s">
        <v>173</v>
      </c>
      <c r="B400" t="s">
        <v>18</v>
      </c>
      <c r="C400" t="s">
        <v>35</v>
      </c>
      <c r="D400" s="1">
        <v>0.35416666666666669</v>
      </c>
      <c r="E400" s="1">
        <v>0.625</v>
      </c>
      <c r="F400">
        <v>26.88</v>
      </c>
      <c r="G400">
        <v>0</v>
      </c>
      <c r="H400">
        <v>6.5</v>
      </c>
      <c r="J400" t="s">
        <v>15</v>
      </c>
      <c r="K400" t="s">
        <v>104</v>
      </c>
      <c r="L400" t="s">
        <v>17</v>
      </c>
      <c r="M400" s="44" t="str">
        <f t="shared" si="6"/>
        <v>6.5 hr |</v>
      </c>
    </row>
    <row r="401" spans="1:13" x14ac:dyDescent="0.25">
      <c r="A401" t="s">
        <v>173</v>
      </c>
      <c r="B401" t="s">
        <v>116</v>
      </c>
      <c r="C401" t="s">
        <v>49</v>
      </c>
      <c r="D401" s="1">
        <v>0.375</v>
      </c>
      <c r="E401" s="1">
        <v>0.625</v>
      </c>
      <c r="F401">
        <v>26.88</v>
      </c>
      <c r="G401">
        <v>0</v>
      </c>
      <c r="H401">
        <v>6</v>
      </c>
      <c r="I401" t="s">
        <v>50</v>
      </c>
      <c r="K401" t="s">
        <v>42</v>
      </c>
      <c r="L401" t="s">
        <v>47</v>
      </c>
      <c r="M401" s="44" t="str">
        <f t="shared" si="6"/>
        <v>6 hr |</v>
      </c>
    </row>
    <row r="402" spans="1:13" x14ac:dyDescent="0.25">
      <c r="A402" t="s">
        <v>173</v>
      </c>
      <c r="B402" t="s">
        <v>69</v>
      </c>
      <c r="C402" t="s">
        <v>70</v>
      </c>
      <c r="D402" s="1">
        <v>0.375</v>
      </c>
      <c r="E402" s="1">
        <v>0.625</v>
      </c>
      <c r="F402">
        <v>30.5</v>
      </c>
      <c r="G402">
        <v>152.5</v>
      </c>
      <c r="H402">
        <v>6</v>
      </c>
      <c r="K402" t="s">
        <v>87</v>
      </c>
      <c r="L402" t="s">
        <v>57</v>
      </c>
      <c r="M402" s="44" t="str">
        <f t="shared" si="6"/>
        <v>5 hr |</v>
      </c>
    </row>
    <row r="403" spans="1:13" x14ac:dyDescent="0.25">
      <c r="A403" t="s">
        <v>173</v>
      </c>
      <c r="B403" t="s">
        <v>108</v>
      </c>
      <c r="C403" t="s">
        <v>46</v>
      </c>
      <c r="D403" s="1">
        <v>0.375</v>
      </c>
      <c r="E403" s="1">
        <v>0.70833333333333337</v>
      </c>
      <c r="F403">
        <v>26.88</v>
      </c>
      <c r="G403">
        <v>0</v>
      </c>
      <c r="H403">
        <v>8</v>
      </c>
      <c r="I403" t="s">
        <v>174</v>
      </c>
      <c r="J403" t="s">
        <v>15</v>
      </c>
      <c r="K403" t="s">
        <v>20</v>
      </c>
      <c r="L403" t="s">
        <v>47</v>
      </c>
      <c r="M403" s="44" t="str">
        <f t="shared" si="6"/>
        <v>8 hr |</v>
      </c>
    </row>
    <row r="404" spans="1:13" x14ac:dyDescent="0.25">
      <c r="A404" t="s">
        <v>173</v>
      </c>
      <c r="B404" t="s">
        <v>45</v>
      </c>
      <c r="C404" t="s">
        <v>46</v>
      </c>
      <c r="D404" s="1">
        <v>0.375</v>
      </c>
      <c r="E404" s="1">
        <v>0.63888888888888884</v>
      </c>
      <c r="F404">
        <v>27.22</v>
      </c>
      <c r="G404">
        <v>163.32</v>
      </c>
      <c r="H404">
        <v>6.3333333333333304</v>
      </c>
      <c r="I404" t="s">
        <v>175</v>
      </c>
      <c r="J404" t="s">
        <v>15</v>
      </c>
      <c r="K404" t="s">
        <v>176</v>
      </c>
      <c r="L404" t="s">
        <v>47</v>
      </c>
      <c r="M404" s="44" t="str">
        <f t="shared" si="6"/>
        <v>6.33 hr |</v>
      </c>
    </row>
    <row r="405" spans="1:13" x14ac:dyDescent="0.25">
      <c r="A405" t="s">
        <v>173</v>
      </c>
      <c r="B405" t="s">
        <v>136</v>
      </c>
      <c r="C405" t="s">
        <v>46</v>
      </c>
      <c r="D405" s="1">
        <v>0.375</v>
      </c>
      <c r="E405" s="1">
        <v>0.625</v>
      </c>
      <c r="F405">
        <v>26.88</v>
      </c>
      <c r="G405">
        <v>161.28</v>
      </c>
      <c r="H405">
        <v>6</v>
      </c>
      <c r="I405">
        <v>518</v>
      </c>
      <c r="J405" t="s">
        <v>15</v>
      </c>
      <c r="K405" t="s">
        <v>42</v>
      </c>
      <c r="L405" t="s">
        <v>47</v>
      </c>
      <c r="M405" s="44" t="str">
        <f t="shared" si="6"/>
        <v>6 hr |</v>
      </c>
    </row>
    <row r="406" spans="1:13" x14ac:dyDescent="0.25">
      <c r="A406" t="s">
        <v>173</v>
      </c>
      <c r="B406" t="s">
        <v>21</v>
      </c>
      <c r="C406" t="s">
        <v>22</v>
      </c>
      <c r="D406" s="1">
        <v>0.375</v>
      </c>
      <c r="E406" s="1">
        <v>0.70833333333333337</v>
      </c>
      <c r="F406">
        <v>26.88</v>
      </c>
      <c r="G406">
        <v>0</v>
      </c>
      <c r="H406">
        <v>8</v>
      </c>
      <c r="K406" t="s">
        <v>20</v>
      </c>
      <c r="L406" t="s">
        <v>23</v>
      </c>
      <c r="M406" s="44" t="str">
        <f t="shared" si="6"/>
        <v>8 hr |</v>
      </c>
    </row>
    <row r="407" spans="1:13" x14ac:dyDescent="0.25">
      <c r="A407" t="s">
        <v>173</v>
      </c>
      <c r="B407" t="s">
        <v>31</v>
      </c>
      <c r="C407" t="s">
        <v>32</v>
      </c>
      <c r="D407" s="1">
        <v>0.375</v>
      </c>
      <c r="E407" s="1">
        <v>0.625</v>
      </c>
      <c r="F407">
        <v>27.22</v>
      </c>
      <c r="G407">
        <v>163.32</v>
      </c>
      <c r="H407">
        <v>6</v>
      </c>
      <c r="I407">
        <v>402</v>
      </c>
      <c r="J407" t="s">
        <v>15</v>
      </c>
      <c r="K407" t="s">
        <v>29</v>
      </c>
      <c r="L407" t="s">
        <v>17</v>
      </c>
      <c r="M407" s="44" t="str">
        <f t="shared" si="6"/>
        <v>6 hr |</v>
      </c>
    </row>
    <row r="408" spans="1:13" x14ac:dyDescent="0.25">
      <c r="A408" t="s">
        <v>173</v>
      </c>
      <c r="B408" t="s">
        <v>61</v>
      </c>
      <c r="C408" t="s">
        <v>46</v>
      </c>
      <c r="D408" s="1">
        <v>0.375</v>
      </c>
      <c r="E408" s="1">
        <v>0.70833333333333337</v>
      </c>
      <c r="F408">
        <v>27.22</v>
      </c>
      <c r="G408">
        <v>217.76</v>
      </c>
      <c r="H408">
        <v>8</v>
      </c>
      <c r="I408">
        <v>605</v>
      </c>
      <c r="J408" t="s">
        <v>15</v>
      </c>
      <c r="K408" t="s">
        <v>52</v>
      </c>
      <c r="L408" t="s">
        <v>57</v>
      </c>
      <c r="M408" s="44" t="str">
        <f t="shared" si="6"/>
        <v>8 hr |</v>
      </c>
    </row>
    <row r="409" spans="1:13" x14ac:dyDescent="0.25">
      <c r="A409" t="s">
        <v>173</v>
      </c>
      <c r="B409" t="s">
        <v>177</v>
      </c>
      <c r="C409" t="s">
        <v>46</v>
      </c>
      <c r="D409" s="1">
        <v>0.375</v>
      </c>
      <c r="E409" s="1">
        <v>0.66666666666666663</v>
      </c>
      <c r="F409">
        <v>26.88</v>
      </c>
      <c r="G409">
        <v>161.28</v>
      </c>
      <c r="H409">
        <v>7</v>
      </c>
      <c r="I409">
        <v>318</v>
      </c>
      <c r="J409" t="s">
        <v>15</v>
      </c>
      <c r="K409" t="s">
        <v>56</v>
      </c>
      <c r="L409" t="s">
        <v>37</v>
      </c>
      <c r="M409" s="44" t="str">
        <f t="shared" si="6"/>
        <v>7 hr |</v>
      </c>
    </row>
    <row r="410" spans="1:13" x14ac:dyDescent="0.25">
      <c r="A410" t="s">
        <v>173</v>
      </c>
      <c r="B410" t="s">
        <v>83</v>
      </c>
      <c r="C410" t="s">
        <v>46</v>
      </c>
      <c r="D410" s="1">
        <v>0.375</v>
      </c>
      <c r="E410" s="1">
        <v>0.70833333333333337</v>
      </c>
      <c r="F410">
        <v>27.22</v>
      </c>
      <c r="G410">
        <v>217.76</v>
      </c>
      <c r="H410">
        <v>8</v>
      </c>
      <c r="I410">
        <v>401</v>
      </c>
      <c r="J410" t="s">
        <v>15</v>
      </c>
      <c r="K410" t="s">
        <v>52</v>
      </c>
      <c r="L410" t="s">
        <v>23</v>
      </c>
      <c r="M410" s="44" t="str">
        <f t="shared" si="6"/>
        <v>8 hr |</v>
      </c>
    </row>
    <row r="411" spans="1:13" x14ac:dyDescent="0.25">
      <c r="A411" t="s">
        <v>173</v>
      </c>
      <c r="B411" t="s">
        <v>105</v>
      </c>
      <c r="C411" t="s">
        <v>46</v>
      </c>
      <c r="D411" s="1">
        <v>0.375</v>
      </c>
      <c r="E411" s="1">
        <v>0.70833333333333337</v>
      </c>
      <c r="F411">
        <v>26.88</v>
      </c>
      <c r="G411">
        <v>0</v>
      </c>
      <c r="H411">
        <v>8</v>
      </c>
      <c r="I411">
        <v>605</v>
      </c>
      <c r="J411" t="s">
        <v>15</v>
      </c>
      <c r="K411" t="s">
        <v>106</v>
      </c>
      <c r="L411" t="s">
        <v>57</v>
      </c>
      <c r="M411" s="44" t="str">
        <f t="shared" si="6"/>
        <v>0 hr |</v>
      </c>
    </row>
    <row r="412" spans="1:13" x14ac:dyDescent="0.25">
      <c r="A412" t="s">
        <v>173</v>
      </c>
      <c r="B412" t="s">
        <v>71</v>
      </c>
      <c r="C412" t="s">
        <v>70</v>
      </c>
      <c r="D412" s="1">
        <v>0.41666666666666669</v>
      </c>
      <c r="E412" s="1">
        <v>0.625</v>
      </c>
      <c r="F412">
        <v>30.5</v>
      </c>
      <c r="G412">
        <v>122</v>
      </c>
      <c r="H412">
        <v>5</v>
      </c>
      <c r="K412" t="s">
        <v>87</v>
      </c>
      <c r="L412" t="s">
        <v>57</v>
      </c>
      <c r="M412" s="44" t="str">
        <f t="shared" si="6"/>
        <v>5 hr |</v>
      </c>
    </row>
    <row r="413" spans="1:13" x14ac:dyDescent="0.25">
      <c r="A413" t="s">
        <v>173</v>
      </c>
      <c r="B413" t="s">
        <v>53</v>
      </c>
      <c r="C413" t="s">
        <v>55</v>
      </c>
      <c r="D413" s="1">
        <v>0.41666666666666669</v>
      </c>
      <c r="E413" s="1">
        <v>0.58333333333333337</v>
      </c>
      <c r="F413">
        <v>26.88</v>
      </c>
      <c r="G413">
        <v>0</v>
      </c>
      <c r="H413">
        <v>4</v>
      </c>
      <c r="K413" t="s">
        <v>106</v>
      </c>
      <c r="L413" t="s">
        <v>57</v>
      </c>
      <c r="M413" s="44" t="str">
        <f t="shared" si="6"/>
        <v>0 hr |</v>
      </c>
    </row>
    <row r="414" spans="1:13" x14ac:dyDescent="0.25">
      <c r="A414" t="s">
        <v>173</v>
      </c>
      <c r="B414" t="s">
        <v>102</v>
      </c>
      <c r="C414" t="s">
        <v>14</v>
      </c>
      <c r="D414" s="1">
        <v>0.41666666666666669</v>
      </c>
      <c r="E414" s="1">
        <v>0.95833333333333337</v>
      </c>
      <c r="F414">
        <v>30.5</v>
      </c>
      <c r="G414">
        <v>244</v>
      </c>
      <c r="H414">
        <v>13</v>
      </c>
      <c r="J414" t="s">
        <v>15</v>
      </c>
      <c r="K414" t="s">
        <v>167</v>
      </c>
      <c r="L414" t="s">
        <v>47</v>
      </c>
      <c r="M414" s="44" t="str">
        <f t="shared" si="6"/>
        <v>13 hr |</v>
      </c>
    </row>
    <row r="415" spans="1:13" x14ac:dyDescent="0.25">
      <c r="A415" t="s">
        <v>173</v>
      </c>
      <c r="B415" t="s">
        <v>111</v>
      </c>
      <c r="C415" t="s">
        <v>32</v>
      </c>
      <c r="D415" s="1">
        <v>0.45833333333333331</v>
      </c>
      <c r="E415" s="1">
        <v>0.625</v>
      </c>
      <c r="F415">
        <v>27.22</v>
      </c>
      <c r="G415">
        <v>108.88</v>
      </c>
      <c r="H415">
        <v>4</v>
      </c>
      <c r="I415">
        <v>218</v>
      </c>
      <c r="J415" t="s">
        <v>15</v>
      </c>
      <c r="K415" t="s">
        <v>68</v>
      </c>
      <c r="L415" t="s">
        <v>47</v>
      </c>
      <c r="M415" s="44" t="str">
        <f t="shared" si="6"/>
        <v>4 hr |</v>
      </c>
    </row>
    <row r="416" spans="1:13" x14ac:dyDescent="0.25">
      <c r="A416" t="s">
        <v>173</v>
      </c>
      <c r="B416" t="s">
        <v>72</v>
      </c>
      <c r="C416" t="s">
        <v>73</v>
      </c>
      <c r="D416" s="1">
        <v>0.5</v>
      </c>
      <c r="E416" s="1">
        <v>0.70833333333333337</v>
      </c>
      <c r="F416">
        <v>22</v>
      </c>
      <c r="G416">
        <v>88</v>
      </c>
      <c r="H416">
        <v>5</v>
      </c>
      <c r="K416" t="s">
        <v>158</v>
      </c>
      <c r="L416" t="s">
        <v>47</v>
      </c>
      <c r="M416" s="44" t="str">
        <f t="shared" si="6"/>
        <v>5 hr |</v>
      </c>
    </row>
    <row r="417" spans="1:13" x14ac:dyDescent="0.25">
      <c r="A417" t="s">
        <v>173</v>
      </c>
      <c r="B417" t="s">
        <v>74</v>
      </c>
      <c r="C417" t="s">
        <v>75</v>
      </c>
      <c r="D417" s="1">
        <v>0.58333333333333337</v>
      </c>
      <c r="E417" s="1">
        <v>0.79166666666666663</v>
      </c>
      <c r="F417">
        <v>26.88</v>
      </c>
      <c r="G417">
        <v>134.4</v>
      </c>
      <c r="H417">
        <v>5</v>
      </c>
      <c r="K417" t="s">
        <v>87</v>
      </c>
      <c r="L417" t="s">
        <v>30</v>
      </c>
      <c r="M417" s="44" t="str">
        <f t="shared" si="6"/>
        <v>5 hr |</v>
      </c>
    </row>
    <row r="418" spans="1:13" x14ac:dyDescent="0.25">
      <c r="A418" t="s">
        <v>173</v>
      </c>
      <c r="B418" t="s">
        <v>101</v>
      </c>
      <c r="C418" t="s">
        <v>78</v>
      </c>
      <c r="D418" s="1">
        <v>0.625</v>
      </c>
      <c r="E418" s="1">
        <v>0.95833333333333337</v>
      </c>
      <c r="F418">
        <v>35</v>
      </c>
      <c r="G418">
        <v>0</v>
      </c>
      <c r="H418">
        <v>8</v>
      </c>
      <c r="K418" t="s">
        <v>20</v>
      </c>
      <c r="L418" t="s">
        <v>57</v>
      </c>
      <c r="M418" s="44" t="str">
        <f t="shared" si="6"/>
        <v>8 hr |</v>
      </c>
    </row>
    <row r="419" spans="1:13" x14ac:dyDescent="0.25">
      <c r="A419" t="s">
        <v>173</v>
      </c>
      <c r="B419" t="s">
        <v>113</v>
      </c>
      <c r="C419" t="s">
        <v>28</v>
      </c>
      <c r="D419" s="1">
        <v>0.625</v>
      </c>
      <c r="E419" s="1">
        <v>0.91666666666666663</v>
      </c>
      <c r="F419">
        <v>27.22</v>
      </c>
      <c r="G419">
        <v>204.15</v>
      </c>
      <c r="H419">
        <v>7</v>
      </c>
      <c r="K419" t="s">
        <v>33</v>
      </c>
      <c r="L419" t="s">
        <v>47</v>
      </c>
      <c r="M419" s="44" t="str">
        <f t="shared" si="6"/>
        <v>7 hr |</v>
      </c>
    </row>
    <row r="420" spans="1:13" x14ac:dyDescent="0.25">
      <c r="A420" t="s">
        <v>173</v>
      </c>
      <c r="B420" t="s">
        <v>18</v>
      </c>
      <c r="C420" t="s">
        <v>35</v>
      </c>
      <c r="D420" s="1">
        <v>0.625</v>
      </c>
      <c r="E420" s="1">
        <v>0.83333333333333337</v>
      </c>
      <c r="F420">
        <v>26.88</v>
      </c>
      <c r="G420">
        <v>0</v>
      </c>
      <c r="H420">
        <v>5</v>
      </c>
      <c r="J420" t="s">
        <v>15</v>
      </c>
      <c r="K420" t="s">
        <v>87</v>
      </c>
      <c r="L420" t="s">
        <v>17</v>
      </c>
      <c r="M420" s="44" t="str">
        <f t="shared" si="6"/>
        <v>5 hr |</v>
      </c>
    </row>
    <row r="421" spans="1:13" x14ac:dyDescent="0.25">
      <c r="A421" t="s">
        <v>173</v>
      </c>
      <c r="B421" t="s">
        <v>27</v>
      </c>
      <c r="C421" t="s">
        <v>22</v>
      </c>
      <c r="D421" s="1">
        <v>0.625</v>
      </c>
      <c r="E421" s="1">
        <v>0.95833333333333337</v>
      </c>
      <c r="F421">
        <v>27.22</v>
      </c>
      <c r="G421">
        <v>217.76</v>
      </c>
      <c r="H421">
        <v>8</v>
      </c>
      <c r="K421" t="s">
        <v>52</v>
      </c>
      <c r="L421" t="s">
        <v>23</v>
      </c>
      <c r="M421" s="44" t="str">
        <f t="shared" si="6"/>
        <v>8 hr |</v>
      </c>
    </row>
    <row r="422" spans="1:13" x14ac:dyDescent="0.25">
      <c r="A422" t="s">
        <v>173</v>
      </c>
      <c r="B422" t="s">
        <v>131</v>
      </c>
      <c r="C422" t="s">
        <v>14</v>
      </c>
      <c r="D422" s="1">
        <v>0.625</v>
      </c>
      <c r="E422" s="1">
        <v>0.95833333333333337</v>
      </c>
      <c r="F422">
        <v>30.5</v>
      </c>
      <c r="G422">
        <v>0</v>
      </c>
      <c r="H422">
        <v>8</v>
      </c>
      <c r="J422" t="s">
        <v>15</v>
      </c>
      <c r="K422" t="s">
        <v>20</v>
      </c>
      <c r="L422" t="s">
        <v>23</v>
      </c>
      <c r="M422" s="44" t="str">
        <f t="shared" si="6"/>
        <v>8 hr |</v>
      </c>
    </row>
    <row r="423" spans="1:13" x14ac:dyDescent="0.25">
      <c r="A423" t="s">
        <v>173</v>
      </c>
      <c r="B423" t="s">
        <v>107</v>
      </c>
      <c r="C423" t="s">
        <v>178</v>
      </c>
      <c r="D423" s="1">
        <v>0.625</v>
      </c>
      <c r="E423" s="1">
        <v>0.875</v>
      </c>
      <c r="F423">
        <v>31.17</v>
      </c>
      <c r="G423">
        <v>0</v>
      </c>
      <c r="H423">
        <v>6</v>
      </c>
      <c r="K423" t="s">
        <v>42</v>
      </c>
      <c r="L423" t="s">
        <v>23</v>
      </c>
      <c r="M423" s="44" t="str">
        <f t="shared" si="6"/>
        <v>6 hr |</v>
      </c>
    </row>
    <row r="424" spans="1:13" x14ac:dyDescent="0.25">
      <c r="A424" t="s">
        <v>173</v>
      </c>
      <c r="B424" t="s">
        <v>111</v>
      </c>
      <c r="C424" t="s">
        <v>32</v>
      </c>
      <c r="D424" s="1">
        <v>0.66666666666666663</v>
      </c>
      <c r="E424" s="1">
        <v>0.95833333333333337</v>
      </c>
      <c r="F424">
        <v>27.22</v>
      </c>
      <c r="G424">
        <v>190.54</v>
      </c>
      <c r="H424">
        <v>7</v>
      </c>
      <c r="I424">
        <v>318</v>
      </c>
      <c r="J424" t="s">
        <v>15</v>
      </c>
      <c r="K424" t="s">
        <v>33</v>
      </c>
      <c r="L424" t="s">
        <v>17</v>
      </c>
      <c r="M424" s="44" t="str">
        <f t="shared" si="6"/>
        <v>7 hr |</v>
      </c>
    </row>
    <row r="425" spans="1:13" x14ac:dyDescent="0.25">
      <c r="A425" t="s">
        <v>173</v>
      </c>
      <c r="B425" t="s">
        <v>62</v>
      </c>
      <c r="C425" t="s">
        <v>49</v>
      </c>
      <c r="D425" s="1">
        <v>0.70833333333333337</v>
      </c>
      <c r="E425" s="1">
        <v>0.95833333333333337</v>
      </c>
      <c r="F425">
        <v>27.22</v>
      </c>
      <c r="G425">
        <v>163.32</v>
      </c>
      <c r="H425">
        <v>6</v>
      </c>
      <c r="I425" t="s">
        <v>50</v>
      </c>
      <c r="K425" t="s">
        <v>29</v>
      </c>
      <c r="L425" t="s">
        <v>47</v>
      </c>
      <c r="M425" s="44" t="str">
        <f t="shared" si="6"/>
        <v>6 hr |</v>
      </c>
    </row>
    <row r="426" spans="1:13" x14ac:dyDescent="0.25">
      <c r="A426" t="s">
        <v>173</v>
      </c>
      <c r="B426" t="s">
        <v>67</v>
      </c>
      <c r="C426" t="s">
        <v>22</v>
      </c>
      <c r="D426" s="1">
        <v>0.70833333333333337</v>
      </c>
      <c r="E426" s="1">
        <v>0.95833333333333337</v>
      </c>
      <c r="F426">
        <v>27.22</v>
      </c>
      <c r="G426">
        <v>163.32</v>
      </c>
      <c r="H426">
        <v>6</v>
      </c>
      <c r="K426" t="s">
        <v>29</v>
      </c>
      <c r="L426" t="s">
        <v>23</v>
      </c>
      <c r="M426" s="44" t="str">
        <f t="shared" si="6"/>
        <v>6 hr |</v>
      </c>
    </row>
    <row r="427" spans="1:13" x14ac:dyDescent="0.25">
      <c r="A427" t="s">
        <v>173</v>
      </c>
      <c r="B427" t="s">
        <v>108</v>
      </c>
      <c r="C427" t="s">
        <v>46</v>
      </c>
      <c r="D427" s="1">
        <v>0.70833333333333337</v>
      </c>
      <c r="E427" s="1">
        <v>0.95833333333333337</v>
      </c>
      <c r="F427">
        <v>26.88</v>
      </c>
      <c r="G427">
        <v>0</v>
      </c>
      <c r="H427">
        <v>6</v>
      </c>
      <c r="I427">
        <v>318</v>
      </c>
      <c r="J427" t="s">
        <v>15</v>
      </c>
      <c r="K427" t="s">
        <v>42</v>
      </c>
      <c r="L427" t="s">
        <v>47</v>
      </c>
      <c r="M427" s="44" t="str">
        <f t="shared" si="6"/>
        <v>6 hr |</v>
      </c>
    </row>
    <row r="428" spans="1:13" x14ac:dyDescent="0.25">
      <c r="A428" t="s">
        <v>173</v>
      </c>
      <c r="B428" t="s">
        <v>83</v>
      </c>
      <c r="C428" t="s">
        <v>46</v>
      </c>
      <c r="D428" s="1">
        <v>0.70833333333333337</v>
      </c>
      <c r="E428" s="1">
        <v>0.875</v>
      </c>
      <c r="F428">
        <v>27.22</v>
      </c>
      <c r="G428">
        <v>108.88</v>
      </c>
      <c r="H428">
        <v>4</v>
      </c>
      <c r="I428">
        <v>418</v>
      </c>
      <c r="J428" t="s">
        <v>15</v>
      </c>
      <c r="K428" t="s">
        <v>68</v>
      </c>
      <c r="L428" t="s">
        <v>47</v>
      </c>
      <c r="M428" s="44" t="str">
        <f t="shared" si="6"/>
        <v>4 hr |</v>
      </c>
    </row>
    <row r="429" spans="1:13" x14ac:dyDescent="0.25">
      <c r="A429" t="s">
        <v>173</v>
      </c>
      <c r="B429" t="s">
        <v>25</v>
      </c>
      <c r="C429" t="s">
        <v>26</v>
      </c>
      <c r="D429" s="1">
        <v>0.91666666666666663</v>
      </c>
      <c r="E429" s="1">
        <v>0.33333333333333331</v>
      </c>
      <c r="F429">
        <v>26.88</v>
      </c>
      <c r="G429">
        <v>0</v>
      </c>
      <c r="H429">
        <v>10</v>
      </c>
      <c r="J429" t="s">
        <v>15</v>
      </c>
      <c r="K429" t="s">
        <v>97</v>
      </c>
      <c r="L429" t="s">
        <v>47</v>
      </c>
      <c r="M429" s="44" t="str">
        <f t="shared" si="6"/>
        <v>10 hr |</v>
      </c>
    </row>
    <row r="430" spans="1:13" x14ac:dyDescent="0.25">
      <c r="A430" t="s">
        <v>173</v>
      </c>
      <c r="B430" t="s">
        <v>93</v>
      </c>
      <c r="C430" t="s">
        <v>75</v>
      </c>
      <c r="D430" s="1">
        <v>0.95833333333333337</v>
      </c>
      <c r="E430" s="1">
        <v>0.375</v>
      </c>
      <c r="F430">
        <v>27.22</v>
      </c>
      <c r="G430">
        <v>0</v>
      </c>
      <c r="H430">
        <v>10</v>
      </c>
      <c r="K430" t="s">
        <v>179</v>
      </c>
      <c r="L430" t="s">
        <v>30</v>
      </c>
      <c r="M430" s="44" t="str">
        <f t="shared" si="6"/>
        <v>0 hr |</v>
      </c>
    </row>
    <row r="431" spans="1:13" x14ac:dyDescent="0.25">
      <c r="A431" t="s">
        <v>173</v>
      </c>
      <c r="B431" t="s">
        <v>66</v>
      </c>
      <c r="C431" t="s">
        <v>46</v>
      </c>
      <c r="D431" s="1">
        <v>0.95833333333333337</v>
      </c>
      <c r="E431" s="1">
        <v>0.375</v>
      </c>
      <c r="F431">
        <v>26.88</v>
      </c>
      <c r="G431">
        <v>0</v>
      </c>
      <c r="H431">
        <v>10</v>
      </c>
      <c r="I431">
        <v>318</v>
      </c>
      <c r="J431" t="s">
        <v>15</v>
      </c>
      <c r="K431" t="s">
        <v>97</v>
      </c>
      <c r="L431" t="s">
        <v>47</v>
      </c>
      <c r="M431" s="44" t="str">
        <f t="shared" si="6"/>
        <v>10 hr |</v>
      </c>
    </row>
    <row r="432" spans="1:13" x14ac:dyDescent="0.25">
      <c r="A432" t="s">
        <v>173</v>
      </c>
      <c r="B432" t="s">
        <v>95</v>
      </c>
      <c r="C432" t="s">
        <v>46</v>
      </c>
      <c r="D432" s="1">
        <v>0.95833333333333337</v>
      </c>
      <c r="E432" s="1">
        <v>0.375</v>
      </c>
      <c r="F432">
        <v>27.22</v>
      </c>
      <c r="G432">
        <v>272.2</v>
      </c>
      <c r="H432">
        <v>10</v>
      </c>
      <c r="I432" t="s">
        <v>99</v>
      </c>
      <c r="J432" t="s">
        <v>15</v>
      </c>
      <c r="K432" t="s">
        <v>94</v>
      </c>
      <c r="L432" t="s">
        <v>37</v>
      </c>
      <c r="M432" s="44" t="str">
        <f t="shared" si="6"/>
        <v>10 hr |</v>
      </c>
    </row>
    <row r="433" spans="1:13" x14ac:dyDescent="0.25">
      <c r="A433" t="s">
        <v>173</v>
      </c>
      <c r="B433" t="s">
        <v>13</v>
      </c>
      <c r="C433" t="s">
        <v>14</v>
      </c>
      <c r="D433" s="1">
        <v>0.95833333333333337</v>
      </c>
      <c r="E433" s="1">
        <v>0.29166666666666669</v>
      </c>
      <c r="F433">
        <v>30.5</v>
      </c>
      <c r="G433">
        <v>0</v>
      </c>
      <c r="H433">
        <v>8</v>
      </c>
      <c r="J433" t="s">
        <v>15</v>
      </c>
      <c r="K433" t="s">
        <v>20</v>
      </c>
      <c r="L433" t="s">
        <v>47</v>
      </c>
      <c r="M433" s="44" t="str">
        <f t="shared" si="6"/>
        <v>8 hr |</v>
      </c>
    </row>
    <row r="434" spans="1:13" x14ac:dyDescent="0.25">
      <c r="A434" t="s">
        <v>180</v>
      </c>
      <c r="B434" t="s">
        <v>45</v>
      </c>
      <c r="C434" t="s">
        <v>46</v>
      </c>
      <c r="D434" s="1">
        <v>0.25</v>
      </c>
      <c r="E434" s="1">
        <v>0.41666666666666669</v>
      </c>
      <c r="F434">
        <v>27.22</v>
      </c>
      <c r="G434">
        <v>108.88</v>
      </c>
      <c r="H434">
        <v>4</v>
      </c>
      <c r="I434">
        <v>504</v>
      </c>
      <c r="J434" t="s">
        <v>15</v>
      </c>
      <c r="K434" t="s">
        <v>68</v>
      </c>
      <c r="L434" t="s">
        <v>47</v>
      </c>
      <c r="M434" s="44" t="str">
        <f t="shared" si="6"/>
        <v>4 hr |</v>
      </c>
    </row>
    <row r="435" spans="1:13" x14ac:dyDescent="0.25">
      <c r="A435" t="s">
        <v>180</v>
      </c>
      <c r="B435" t="s">
        <v>13</v>
      </c>
      <c r="C435" t="s">
        <v>14</v>
      </c>
      <c r="D435" s="1">
        <v>0.25</v>
      </c>
      <c r="E435" s="1">
        <v>0.41666666666666669</v>
      </c>
      <c r="F435">
        <v>30.5</v>
      </c>
      <c r="G435">
        <v>0</v>
      </c>
      <c r="H435">
        <v>4</v>
      </c>
      <c r="J435" t="s">
        <v>15</v>
      </c>
      <c r="K435" t="s">
        <v>16</v>
      </c>
      <c r="L435" t="s">
        <v>30</v>
      </c>
      <c r="M435" s="44" t="str">
        <f t="shared" si="6"/>
        <v>4 hr |</v>
      </c>
    </row>
    <row r="436" spans="1:13" x14ac:dyDescent="0.25">
      <c r="A436" t="s">
        <v>180</v>
      </c>
      <c r="B436" t="s">
        <v>21</v>
      </c>
      <c r="C436" t="s">
        <v>22</v>
      </c>
      <c r="D436" s="1">
        <v>0.29166666666666669</v>
      </c>
      <c r="E436" s="1">
        <v>0.5</v>
      </c>
      <c r="F436">
        <v>26.88</v>
      </c>
      <c r="G436">
        <v>0</v>
      </c>
      <c r="H436">
        <v>5</v>
      </c>
      <c r="K436" t="s">
        <v>87</v>
      </c>
      <c r="L436" t="s">
        <v>23</v>
      </c>
      <c r="M436" s="44" t="str">
        <f t="shared" si="6"/>
        <v>5 hr |</v>
      </c>
    </row>
    <row r="437" spans="1:13" x14ac:dyDescent="0.25">
      <c r="A437" t="s">
        <v>180</v>
      </c>
      <c r="B437" t="s">
        <v>40</v>
      </c>
      <c r="C437" t="s">
        <v>19</v>
      </c>
      <c r="D437" s="1">
        <v>0.29166666666666669</v>
      </c>
      <c r="E437" s="1">
        <v>0.45833333333333331</v>
      </c>
      <c r="F437">
        <v>29</v>
      </c>
      <c r="G437">
        <v>0</v>
      </c>
      <c r="H437">
        <v>4</v>
      </c>
      <c r="K437" t="s">
        <v>16</v>
      </c>
      <c r="L437" t="s">
        <v>30</v>
      </c>
      <c r="M437" s="44" t="str">
        <f t="shared" si="6"/>
        <v>4 hr |</v>
      </c>
    </row>
    <row r="438" spans="1:13" x14ac:dyDescent="0.25">
      <c r="A438" t="s">
        <v>180</v>
      </c>
      <c r="B438" t="s">
        <v>126</v>
      </c>
      <c r="C438" t="s">
        <v>181</v>
      </c>
      <c r="D438" s="1">
        <v>0.29166666666666669</v>
      </c>
      <c r="E438" s="1">
        <v>0.625</v>
      </c>
      <c r="F438">
        <v>30.5</v>
      </c>
      <c r="G438">
        <v>0</v>
      </c>
      <c r="H438">
        <v>8</v>
      </c>
      <c r="K438" t="s">
        <v>20</v>
      </c>
      <c r="L438" t="s">
        <v>47</v>
      </c>
      <c r="M438" s="44" t="str">
        <f t="shared" si="6"/>
        <v>8 hr |</v>
      </c>
    </row>
    <row r="439" spans="1:13" x14ac:dyDescent="0.25">
      <c r="A439" t="s">
        <v>180</v>
      </c>
      <c r="B439" t="s">
        <v>177</v>
      </c>
      <c r="C439" t="s">
        <v>28</v>
      </c>
      <c r="D439" s="1">
        <v>0.33333333333333331</v>
      </c>
      <c r="E439" s="1">
        <v>0.66666666666666663</v>
      </c>
      <c r="F439">
        <v>26.88</v>
      </c>
      <c r="G439">
        <v>0</v>
      </c>
      <c r="H439">
        <v>8</v>
      </c>
      <c r="K439" t="s">
        <v>20</v>
      </c>
      <c r="L439" t="s">
        <v>47</v>
      </c>
      <c r="M439" s="44" t="str">
        <f t="shared" si="6"/>
        <v>8 hr |</v>
      </c>
    </row>
    <row r="440" spans="1:13" x14ac:dyDescent="0.25">
      <c r="A440" t="s">
        <v>180</v>
      </c>
      <c r="B440" t="s">
        <v>34</v>
      </c>
      <c r="C440" t="s">
        <v>35</v>
      </c>
      <c r="D440" s="1">
        <v>0.35416666666666669</v>
      </c>
      <c r="E440" s="1">
        <v>0.625</v>
      </c>
      <c r="F440">
        <v>26.88</v>
      </c>
      <c r="G440">
        <v>174.72</v>
      </c>
      <c r="H440">
        <v>6.5</v>
      </c>
      <c r="J440" t="s">
        <v>15</v>
      </c>
      <c r="K440" t="s">
        <v>104</v>
      </c>
      <c r="L440" t="s">
        <v>17</v>
      </c>
      <c r="M440" s="44" t="str">
        <f t="shared" si="6"/>
        <v>6.5 hr |</v>
      </c>
    </row>
    <row r="441" spans="1:13" x14ac:dyDescent="0.25">
      <c r="A441" t="s">
        <v>180</v>
      </c>
      <c r="B441" t="s">
        <v>38</v>
      </c>
      <c r="C441" t="s">
        <v>35</v>
      </c>
      <c r="D441" s="1">
        <v>0.35416666666666669</v>
      </c>
      <c r="E441" s="1">
        <v>0.625</v>
      </c>
      <c r="F441">
        <v>26.88</v>
      </c>
      <c r="G441">
        <v>0</v>
      </c>
      <c r="H441">
        <v>6.5</v>
      </c>
      <c r="J441" t="s">
        <v>15</v>
      </c>
      <c r="K441" t="s">
        <v>104</v>
      </c>
      <c r="L441" t="s">
        <v>17</v>
      </c>
      <c r="M441" s="44" t="str">
        <f t="shared" si="6"/>
        <v>6.5 hr |</v>
      </c>
    </row>
    <row r="442" spans="1:13" x14ac:dyDescent="0.25">
      <c r="A442" t="s">
        <v>180</v>
      </c>
      <c r="B442" t="s">
        <v>69</v>
      </c>
      <c r="C442" t="s">
        <v>70</v>
      </c>
      <c r="D442" s="1">
        <v>0.375</v>
      </c>
      <c r="E442" s="1">
        <v>0.625</v>
      </c>
      <c r="F442">
        <v>30.5</v>
      </c>
      <c r="G442">
        <v>122</v>
      </c>
      <c r="H442">
        <v>6</v>
      </c>
      <c r="K442" t="s">
        <v>42</v>
      </c>
      <c r="L442" t="s">
        <v>57</v>
      </c>
      <c r="M442" s="44" t="str">
        <f t="shared" si="6"/>
        <v>6 hr |</v>
      </c>
    </row>
    <row r="443" spans="1:13" x14ac:dyDescent="0.25">
      <c r="A443" t="s">
        <v>180</v>
      </c>
      <c r="B443" t="s">
        <v>54</v>
      </c>
      <c r="C443" t="s">
        <v>55</v>
      </c>
      <c r="D443" s="1">
        <v>0.375</v>
      </c>
      <c r="E443" s="1">
        <v>0.54166666666666663</v>
      </c>
      <c r="F443">
        <v>26.88</v>
      </c>
      <c r="G443">
        <v>0</v>
      </c>
      <c r="H443">
        <v>4</v>
      </c>
      <c r="K443" t="s">
        <v>16</v>
      </c>
      <c r="L443" t="s">
        <v>57</v>
      </c>
      <c r="M443" s="44" t="str">
        <f t="shared" si="6"/>
        <v>4 hr |</v>
      </c>
    </row>
    <row r="444" spans="1:13" x14ac:dyDescent="0.25">
      <c r="A444" t="s">
        <v>180</v>
      </c>
      <c r="B444" t="s">
        <v>107</v>
      </c>
      <c r="C444" t="s">
        <v>55</v>
      </c>
      <c r="D444" s="1">
        <v>0.375</v>
      </c>
      <c r="E444" s="1">
        <v>0.625</v>
      </c>
      <c r="F444">
        <v>26.88</v>
      </c>
      <c r="G444">
        <v>0</v>
      </c>
      <c r="H444">
        <v>6</v>
      </c>
      <c r="K444" t="s">
        <v>42</v>
      </c>
      <c r="L444" t="s">
        <v>57</v>
      </c>
      <c r="M444" s="44" t="str">
        <f t="shared" si="6"/>
        <v>6 hr |</v>
      </c>
    </row>
    <row r="445" spans="1:13" x14ac:dyDescent="0.25">
      <c r="A445" t="s">
        <v>180</v>
      </c>
      <c r="B445" t="s">
        <v>83</v>
      </c>
      <c r="C445" t="s">
        <v>46</v>
      </c>
      <c r="D445" s="1">
        <v>0.375</v>
      </c>
      <c r="E445" s="1">
        <v>0.70833333333333337</v>
      </c>
      <c r="F445">
        <v>27.22</v>
      </c>
      <c r="G445">
        <v>0</v>
      </c>
      <c r="H445">
        <v>8</v>
      </c>
      <c r="I445">
        <v>605</v>
      </c>
      <c r="J445" t="s">
        <v>15</v>
      </c>
      <c r="K445" t="s">
        <v>52</v>
      </c>
      <c r="L445" t="s">
        <v>47</v>
      </c>
      <c r="M445" s="44" t="str">
        <f t="shared" si="6"/>
        <v>8 hr |</v>
      </c>
    </row>
    <row r="446" spans="1:13" x14ac:dyDescent="0.25">
      <c r="A446" t="s">
        <v>180</v>
      </c>
      <c r="B446" t="s">
        <v>136</v>
      </c>
      <c r="C446" t="s">
        <v>46</v>
      </c>
      <c r="D446" s="1">
        <v>0.375</v>
      </c>
      <c r="E446" s="1">
        <v>0.625</v>
      </c>
      <c r="F446">
        <v>26.88</v>
      </c>
      <c r="G446">
        <v>0</v>
      </c>
      <c r="H446">
        <v>6</v>
      </c>
      <c r="I446">
        <v>518</v>
      </c>
      <c r="J446" t="s">
        <v>15</v>
      </c>
      <c r="K446" t="s">
        <v>42</v>
      </c>
      <c r="L446" t="s">
        <v>47</v>
      </c>
      <c r="M446" s="44" t="str">
        <f t="shared" si="6"/>
        <v>6 hr |</v>
      </c>
    </row>
    <row r="447" spans="1:13" x14ac:dyDescent="0.25">
      <c r="A447" t="s">
        <v>180</v>
      </c>
      <c r="B447" t="s">
        <v>24</v>
      </c>
      <c r="C447" t="s">
        <v>22</v>
      </c>
      <c r="D447" s="1">
        <v>0.375</v>
      </c>
      <c r="E447" s="1">
        <v>0.70833333333333337</v>
      </c>
      <c r="F447">
        <v>26.88</v>
      </c>
      <c r="G447">
        <v>0</v>
      </c>
      <c r="H447">
        <v>8</v>
      </c>
      <c r="K447" t="s">
        <v>20</v>
      </c>
      <c r="L447" t="s">
        <v>23</v>
      </c>
      <c r="M447" s="44" t="str">
        <f t="shared" si="6"/>
        <v>8 hr |</v>
      </c>
    </row>
    <row r="448" spans="1:13" x14ac:dyDescent="0.25">
      <c r="A448" t="s">
        <v>180</v>
      </c>
      <c r="B448" t="s">
        <v>43</v>
      </c>
      <c r="C448" t="s">
        <v>41</v>
      </c>
      <c r="D448" s="1">
        <v>0.375</v>
      </c>
      <c r="E448" s="1">
        <v>0.625</v>
      </c>
      <c r="F448">
        <v>26.88</v>
      </c>
      <c r="G448">
        <v>0</v>
      </c>
      <c r="H448">
        <v>6</v>
      </c>
      <c r="K448" t="s">
        <v>42</v>
      </c>
      <c r="L448" t="s">
        <v>30</v>
      </c>
      <c r="M448" s="44" t="str">
        <f t="shared" si="6"/>
        <v>6 hr |</v>
      </c>
    </row>
    <row r="449" spans="1:13" x14ac:dyDescent="0.25">
      <c r="A449" t="s">
        <v>180</v>
      </c>
      <c r="B449" t="s">
        <v>108</v>
      </c>
      <c r="C449" t="s">
        <v>46</v>
      </c>
      <c r="D449" s="1">
        <v>0.375</v>
      </c>
      <c r="E449" s="1">
        <v>0.625</v>
      </c>
      <c r="F449">
        <v>26.88</v>
      </c>
      <c r="G449">
        <v>0</v>
      </c>
      <c r="H449">
        <v>6</v>
      </c>
      <c r="I449">
        <v>318</v>
      </c>
      <c r="J449" t="s">
        <v>15</v>
      </c>
      <c r="K449" t="s">
        <v>42</v>
      </c>
      <c r="L449" t="s">
        <v>37</v>
      </c>
      <c r="M449" s="44" t="str">
        <f t="shared" si="6"/>
        <v>6 hr |</v>
      </c>
    </row>
    <row r="450" spans="1:13" x14ac:dyDescent="0.25">
      <c r="A450" t="s">
        <v>180</v>
      </c>
      <c r="B450" t="s">
        <v>25</v>
      </c>
      <c r="C450" t="s">
        <v>26</v>
      </c>
      <c r="D450" s="1">
        <v>0.375</v>
      </c>
      <c r="E450" s="1">
        <v>0.58333333333333337</v>
      </c>
      <c r="F450">
        <v>26.88</v>
      </c>
      <c r="G450">
        <v>0</v>
      </c>
      <c r="H450">
        <v>5</v>
      </c>
      <c r="J450" t="s">
        <v>15</v>
      </c>
      <c r="K450" t="s">
        <v>87</v>
      </c>
      <c r="L450" t="s">
        <v>23</v>
      </c>
      <c r="M450" s="44" t="str">
        <f t="shared" si="6"/>
        <v>5 hr |</v>
      </c>
    </row>
    <row r="451" spans="1:13" x14ac:dyDescent="0.25">
      <c r="A451" t="s">
        <v>180</v>
      </c>
      <c r="B451" t="s">
        <v>84</v>
      </c>
      <c r="C451" t="s">
        <v>49</v>
      </c>
      <c r="D451" s="1">
        <v>0.375</v>
      </c>
      <c r="E451" s="1">
        <v>0.625</v>
      </c>
      <c r="F451">
        <v>26.88</v>
      </c>
      <c r="G451">
        <v>0</v>
      </c>
      <c r="H451">
        <v>6</v>
      </c>
      <c r="I451" t="s">
        <v>63</v>
      </c>
      <c r="K451" t="s">
        <v>42</v>
      </c>
      <c r="L451" t="s">
        <v>17</v>
      </c>
      <c r="M451" s="44" t="str">
        <f t="shared" ref="M451:M514" si="7">IF($K451="","",TRIM(MID($K451,FIND(":",$K451)+1,LEN($K451))))</f>
        <v>6 hr |</v>
      </c>
    </row>
    <row r="452" spans="1:13" x14ac:dyDescent="0.25">
      <c r="A452" t="s">
        <v>180</v>
      </c>
      <c r="B452" t="s">
        <v>105</v>
      </c>
      <c r="C452" t="s">
        <v>46</v>
      </c>
      <c r="D452" s="1">
        <v>0.375</v>
      </c>
      <c r="E452" s="1">
        <v>0.70833333333333337</v>
      </c>
      <c r="F452">
        <v>26.88</v>
      </c>
      <c r="G452">
        <v>0</v>
      </c>
      <c r="H452">
        <v>8</v>
      </c>
      <c r="I452">
        <v>605</v>
      </c>
      <c r="J452" t="s">
        <v>15</v>
      </c>
      <c r="K452" t="s">
        <v>106</v>
      </c>
      <c r="L452" t="s">
        <v>47</v>
      </c>
      <c r="M452" s="44" t="str">
        <f t="shared" si="7"/>
        <v>0 hr |</v>
      </c>
    </row>
    <row r="453" spans="1:13" x14ac:dyDescent="0.25">
      <c r="A453" t="s">
        <v>180</v>
      </c>
      <c r="B453" t="s">
        <v>71</v>
      </c>
      <c r="C453" t="s">
        <v>70</v>
      </c>
      <c r="D453" s="1">
        <v>0.41666666666666669</v>
      </c>
      <c r="E453" s="1">
        <v>0.625</v>
      </c>
      <c r="F453">
        <v>30.5</v>
      </c>
      <c r="G453">
        <v>183</v>
      </c>
      <c r="H453">
        <v>5</v>
      </c>
      <c r="K453" t="s">
        <v>42</v>
      </c>
      <c r="L453" t="s">
        <v>57</v>
      </c>
      <c r="M453" s="44" t="str">
        <f t="shared" si="7"/>
        <v>6 hr |</v>
      </c>
    </row>
    <row r="454" spans="1:13" x14ac:dyDescent="0.25">
      <c r="A454" t="s">
        <v>180</v>
      </c>
      <c r="B454" t="s">
        <v>45</v>
      </c>
      <c r="C454" t="s">
        <v>73</v>
      </c>
      <c r="D454" s="1">
        <v>0.41666666666666669</v>
      </c>
      <c r="E454" s="1">
        <v>0.625</v>
      </c>
      <c r="F454">
        <v>22</v>
      </c>
      <c r="G454">
        <v>110</v>
      </c>
      <c r="H454">
        <v>5</v>
      </c>
      <c r="K454" t="s">
        <v>158</v>
      </c>
      <c r="L454" t="s">
        <v>57</v>
      </c>
      <c r="M454" s="44" t="str">
        <f t="shared" si="7"/>
        <v>5 hr |</v>
      </c>
    </row>
    <row r="455" spans="1:13" x14ac:dyDescent="0.25">
      <c r="A455" t="s">
        <v>180</v>
      </c>
      <c r="B455" t="s">
        <v>74</v>
      </c>
      <c r="C455" t="s">
        <v>75</v>
      </c>
      <c r="D455" s="1">
        <v>0.58333333333333337</v>
      </c>
      <c r="E455" s="1">
        <v>0.79166666666666663</v>
      </c>
      <c r="F455">
        <v>26.88</v>
      </c>
      <c r="G455">
        <v>134.4</v>
      </c>
      <c r="H455">
        <v>5</v>
      </c>
      <c r="K455" t="s">
        <v>87</v>
      </c>
      <c r="L455" t="s">
        <v>30</v>
      </c>
      <c r="M455" s="44" t="str">
        <f t="shared" si="7"/>
        <v>5 hr |</v>
      </c>
    </row>
    <row r="456" spans="1:13" x14ac:dyDescent="0.25">
      <c r="A456" t="s">
        <v>180</v>
      </c>
      <c r="B456" t="s">
        <v>76</v>
      </c>
      <c r="C456" t="s">
        <v>28</v>
      </c>
      <c r="D456" s="1">
        <v>0.58333333333333337</v>
      </c>
      <c r="E456" s="1">
        <v>0.91666666666666663</v>
      </c>
      <c r="F456">
        <v>26.88</v>
      </c>
      <c r="G456">
        <v>0</v>
      </c>
      <c r="H456">
        <v>8</v>
      </c>
      <c r="K456" t="s">
        <v>20</v>
      </c>
      <c r="L456" t="s">
        <v>47</v>
      </c>
      <c r="M456" s="44" t="str">
        <f t="shared" si="7"/>
        <v>8 hr |</v>
      </c>
    </row>
    <row r="457" spans="1:13" x14ac:dyDescent="0.25">
      <c r="A457" t="s">
        <v>180</v>
      </c>
      <c r="B457" t="s">
        <v>102</v>
      </c>
      <c r="C457" t="s">
        <v>14</v>
      </c>
      <c r="D457" s="1">
        <v>0.625</v>
      </c>
      <c r="E457" s="1">
        <v>0.95833333333333337</v>
      </c>
      <c r="F457">
        <v>30.5</v>
      </c>
      <c r="G457">
        <v>0</v>
      </c>
      <c r="H457">
        <v>8</v>
      </c>
      <c r="J457" t="s">
        <v>15</v>
      </c>
      <c r="K457" t="s">
        <v>20</v>
      </c>
      <c r="L457" t="s">
        <v>47</v>
      </c>
      <c r="M457" s="44" t="str">
        <f t="shared" si="7"/>
        <v>8 hr |</v>
      </c>
    </row>
    <row r="458" spans="1:13" x14ac:dyDescent="0.25">
      <c r="A458" t="s">
        <v>180</v>
      </c>
      <c r="B458" t="s">
        <v>130</v>
      </c>
      <c r="C458" t="s">
        <v>22</v>
      </c>
      <c r="D458" s="1">
        <v>0.625</v>
      </c>
      <c r="E458" s="1">
        <v>0.95833333333333337</v>
      </c>
      <c r="F458">
        <v>26.88</v>
      </c>
      <c r="G458">
        <v>0</v>
      </c>
      <c r="H458">
        <v>8</v>
      </c>
      <c r="K458" t="s">
        <v>20</v>
      </c>
      <c r="L458" t="s">
        <v>23</v>
      </c>
      <c r="M458" s="44" t="str">
        <f t="shared" si="7"/>
        <v>8 hr |</v>
      </c>
    </row>
    <row r="459" spans="1:13" x14ac:dyDescent="0.25">
      <c r="A459" t="s">
        <v>180</v>
      </c>
      <c r="B459" t="s">
        <v>151</v>
      </c>
      <c r="C459" t="s">
        <v>28</v>
      </c>
      <c r="D459" s="1">
        <v>0.625</v>
      </c>
      <c r="E459" s="1">
        <v>0.95833333333333337</v>
      </c>
      <c r="F459">
        <v>26.88</v>
      </c>
      <c r="G459">
        <v>0</v>
      </c>
      <c r="H459">
        <v>8</v>
      </c>
      <c r="K459" t="s">
        <v>20</v>
      </c>
      <c r="L459" t="s">
        <v>23</v>
      </c>
      <c r="M459" s="44" t="str">
        <f t="shared" si="7"/>
        <v>8 hr |</v>
      </c>
    </row>
    <row r="460" spans="1:13" x14ac:dyDescent="0.25">
      <c r="A460" t="s">
        <v>180</v>
      </c>
      <c r="B460" t="s">
        <v>113</v>
      </c>
      <c r="C460" t="s">
        <v>32</v>
      </c>
      <c r="D460" s="1">
        <v>0.625</v>
      </c>
      <c r="E460" s="1">
        <v>0.95833333333333337</v>
      </c>
      <c r="F460">
        <v>27.22</v>
      </c>
      <c r="G460">
        <v>217.76</v>
      </c>
      <c r="H460">
        <v>8</v>
      </c>
      <c r="I460">
        <v>218</v>
      </c>
      <c r="J460" t="s">
        <v>15</v>
      </c>
      <c r="K460" t="s">
        <v>52</v>
      </c>
      <c r="L460" t="s">
        <v>47</v>
      </c>
      <c r="M460" s="44" t="str">
        <f t="shared" si="7"/>
        <v>8 hr |</v>
      </c>
    </row>
    <row r="461" spans="1:13" x14ac:dyDescent="0.25">
      <c r="A461" t="s">
        <v>180</v>
      </c>
      <c r="B461" t="s">
        <v>77</v>
      </c>
      <c r="C461" t="s">
        <v>78</v>
      </c>
      <c r="D461" s="1">
        <v>0.64583333333333337</v>
      </c>
      <c r="E461" s="1">
        <v>0.95833333333333337</v>
      </c>
      <c r="F461">
        <v>35</v>
      </c>
      <c r="G461">
        <v>280</v>
      </c>
      <c r="H461">
        <v>7.5</v>
      </c>
      <c r="K461" t="s">
        <v>39</v>
      </c>
      <c r="L461" t="s">
        <v>57</v>
      </c>
      <c r="M461" s="44" t="str">
        <f t="shared" si="7"/>
        <v>7.5 hr |</v>
      </c>
    </row>
    <row r="462" spans="1:13" x14ac:dyDescent="0.25">
      <c r="A462" t="s">
        <v>180</v>
      </c>
      <c r="B462" t="s">
        <v>115</v>
      </c>
      <c r="C462" t="s">
        <v>32</v>
      </c>
      <c r="D462" s="1">
        <v>0.66666666666666663</v>
      </c>
      <c r="E462" s="1">
        <v>0.95833333333333337</v>
      </c>
      <c r="F462">
        <v>27.22</v>
      </c>
      <c r="G462">
        <v>190.54</v>
      </c>
      <c r="H462">
        <v>7</v>
      </c>
      <c r="I462">
        <v>318</v>
      </c>
      <c r="J462" t="s">
        <v>15</v>
      </c>
      <c r="K462" t="s">
        <v>33</v>
      </c>
      <c r="L462" t="s">
        <v>17</v>
      </c>
      <c r="M462" s="44" t="str">
        <f t="shared" si="7"/>
        <v>7 hr |</v>
      </c>
    </row>
    <row r="463" spans="1:13" x14ac:dyDescent="0.25">
      <c r="A463" t="s">
        <v>180</v>
      </c>
      <c r="B463" t="s">
        <v>163</v>
      </c>
      <c r="C463" t="s">
        <v>182</v>
      </c>
      <c r="D463" s="1">
        <v>0.66666666666666663</v>
      </c>
      <c r="E463" s="1">
        <v>0.875</v>
      </c>
      <c r="F463">
        <v>31.17</v>
      </c>
      <c r="G463">
        <v>0</v>
      </c>
      <c r="H463">
        <v>5</v>
      </c>
      <c r="K463" t="s">
        <v>87</v>
      </c>
      <c r="L463" t="s">
        <v>23</v>
      </c>
      <c r="M463" s="44" t="str">
        <f t="shared" si="7"/>
        <v>5 hr |</v>
      </c>
    </row>
    <row r="464" spans="1:13" x14ac:dyDescent="0.25">
      <c r="A464" t="s">
        <v>180</v>
      </c>
      <c r="B464" t="s">
        <v>107</v>
      </c>
      <c r="C464" t="s">
        <v>183</v>
      </c>
      <c r="D464" s="1">
        <v>0.66666666666666663</v>
      </c>
      <c r="E464" s="1">
        <v>0.91666666666666663</v>
      </c>
      <c r="F464">
        <v>31.17</v>
      </c>
      <c r="G464">
        <v>0</v>
      </c>
      <c r="H464">
        <v>6</v>
      </c>
      <c r="J464" t="s">
        <v>15</v>
      </c>
      <c r="K464" t="s">
        <v>42</v>
      </c>
      <c r="L464" t="s">
        <v>23</v>
      </c>
      <c r="M464" s="44" t="str">
        <f t="shared" si="7"/>
        <v>6 hr |</v>
      </c>
    </row>
    <row r="465" spans="1:13" x14ac:dyDescent="0.25">
      <c r="A465" t="s">
        <v>180</v>
      </c>
      <c r="B465" t="s">
        <v>111</v>
      </c>
      <c r="C465" t="s">
        <v>32</v>
      </c>
      <c r="D465" s="1">
        <v>0.6875</v>
      </c>
      <c r="E465" s="1">
        <v>0.95833333333333337</v>
      </c>
      <c r="F465">
        <v>27.22</v>
      </c>
      <c r="G465">
        <v>176.93</v>
      </c>
      <c r="H465">
        <v>6.5</v>
      </c>
      <c r="I465">
        <v>211</v>
      </c>
      <c r="J465" t="s">
        <v>15</v>
      </c>
      <c r="K465" t="s">
        <v>128</v>
      </c>
      <c r="L465" t="s">
        <v>23</v>
      </c>
      <c r="M465" s="44" t="str">
        <f t="shared" si="7"/>
        <v>6.5 hr |</v>
      </c>
    </row>
    <row r="466" spans="1:13" x14ac:dyDescent="0.25">
      <c r="A466" t="s">
        <v>180</v>
      </c>
      <c r="B466" t="s">
        <v>48</v>
      </c>
      <c r="C466" t="s">
        <v>49</v>
      </c>
      <c r="D466" s="1">
        <v>0.70833333333333337</v>
      </c>
      <c r="E466" s="1">
        <v>0.95833333333333337</v>
      </c>
      <c r="F466">
        <v>26.88</v>
      </c>
      <c r="G466">
        <v>0</v>
      </c>
      <c r="H466">
        <v>6</v>
      </c>
      <c r="I466" t="s">
        <v>50</v>
      </c>
      <c r="K466" t="s">
        <v>42</v>
      </c>
      <c r="L466" t="s">
        <v>47</v>
      </c>
      <c r="M466" s="44" t="str">
        <f t="shared" si="7"/>
        <v>6 hr |</v>
      </c>
    </row>
    <row r="467" spans="1:13" x14ac:dyDescent="0.25">
      <c r="A467" t="s">
        <v>180</v>
      </c>
      <c r="B467" t="s">
        <v>21</v>
      </c>
      <c r="C467" t="s">
        <v>22</v>
      </c>
      <c r="D467" s="1">
        <v>0.70833333333333337</v>
      </c>
      <c r="E467" s="1">
        <v>0.95833333333333337</v>
      </c>
      <c r="F467">
        <v>26.88</v>
      </c>
      <c r="G467">
        <v>0</v>
      </c>
      <c r="H467">
        <v>6</v>
      </c>
      <c r="K467" t="s">
        <v>42</v>
      </c>
      <c r="L467" t="s">
        <v>23</v>
      </c>
      <c r="M467" s="44" t="str">
        <f t="shared" si="7"/>
        <v>6 hr |</v>
      </c>
    </row>
    <row r="468" spans="1:13" x14ac:dyDescent="0.25">
      <c r="A468" t="s">
        <v>180</v>
      </c>
      <c r="B468" t="s">
        <v>98</v>
      </c>
      <c r="C468" t="s">
        <v>46</v>
      </c>
      <c r="D468" s="1">
        <v>0.70833333333333337</v>
      </c>
      <c r="E468" s="1">
        <v>0.95833333333333337</v>
      </c>
      <c r="F468">
        <v>27.22</v>
      </c>
      <c r="G468">
        <v>163.32</v>
      </c>
      <c r="H468">
        <v>6</v>
      </c>
      <c r="I468">
        <v>411</v>
      </c>
      <c r="J468" t="s">
        <v>15</v>
      </c>
      <c r="K468" t="s">
        <v>29</v>
      </c>
      <c r="L468" t="s">
        <v>57</v>
      </c>
      <c r="M468" s="44" t="str">
        <f t="shared" si="7"/>
        <v>6 hr |</v>
      </c>
    </row>
    <row r="469" spans="1:13" x14ac:dyDescent="0.25">
      <c r="A469" t="s">
        <v>180</v>
      </c>
      <c r="B469" t="s">
        <v>114</v>
      </c>
      <c r="C469" t="s">
        <v>32</v>
      </c>
      <c r="D469" s="1">
        <v>0.70833333333333337</v>
      </c>
      <c r="E469" s="1">
        <v>0.95833333333333337</v>
      </c>
      <c r="F469">
        <v>26.88</v>
      </c>
      <c r="G469">
        <v>0</v>
      </c>
      <c r="H469">
        <v>6</v>
      </c>
      <c r="I469">
        <v>402</v>
      </c>
      <c r="J469" t="s">
        <v>15</v>
      </c>
      <c r="K469" t="s">
        <v>42</v>
      </c>
      <c r="L469" t="s">
        <v>23</v>
      </c>
      <c r="M469" s="44" t="str">
        <f t="shared" si="7"/>
        <v>6 hr |</v>
      </c>
    </row>
    <row r="470" spans="1:13" x14ac:dyDescent="0.25">
      <c r="A470" t="s">
        <v>180</v>
      </c>
      <c r="B470" t="s">
        <v>93</v>
      </c>
      <c r="C470" t="s">
        <v>75</v>
      </c>
      <c r="D470" s="1">
        <v>0.95833333333333337</v>
      </c>
      <c r="E470" s="1">
        <v>0.375</v>
      </c>
      <c r="F470">
        <v>27.22</v>
      </c>
      <c r="G470">
        <v>272.2</v>
      </c>
      <c r="H470">
        <v>10</v>
      </c>
      <c r="K470" t="s">
        <v>94</v>
      </c>
      <c r="L470" t="s">
        <v>30</v>
      </c>
      <c r="M470" s="44" t="str">
        <f t="shared" si="7"/>
        <v>10 hr |</v>
      </c>
    </row>
    <row r="471" spans="1:13" x14ac:dyDescent="0.25">
      <c r="A471" t="s">
        <v>180</v>
      </c>
      <c r="B471" t="s">
        <v>66</v>
      </c>
      <c r="C471" t="s">
        <v>46</v>
      </c>
      <c r="D471" s="1">
        <v>0.95833333333333337</v>
      </c>
      <c r="E471" s="1">
        <v>0.375</v>
      </c>
      <c r="F471">
        <v>26.88</v>
      </c>
      <c r="G471">
        <v>0</v>
      </c>
      <c r="H471">
        <v>10</v>
      </c>
      <c r="I471">
        <v>318</v>
      </c>
      <c r="J471" t="s">
        <v>15</v>
      </c>
      <c r="K471" t="s">
        <v>97</v>
      </c>
      <c r="L471" t="s">
        <v>47</v>
      </c>
      <c r="M471" s="44" t="str">
        <f t="shared" si="7"/>
        <v>10 hr |</v>
      </c>
    </row>
    <row r="472" spans="1:13" x14ac:dyDescent="0.25">
      <c r="A472" t="s">
        <v>180</v>
      </c>
      <c r="B472" t="s">
        <v>122</v>
      </c>
      <c r="C472" t="s">
        <v>46</v>
      </c>
      <c r="D472" s="1">
        <v>0.95833333333333337</v>
      </c>
      <c r="E472" s="1">
        <v>0.375</v>
      </c>
      <c r="F472">
        <v>27.22</v>
      </c>
      <c r="G472">
        <v>272.2</v>
      </c>
      <c r="H472">
        <v>10</v>
      </c>
      <c r="I472" t="s">
        <v>99</v>
      </c>
      <c r="J472" t="s">
        <v>15</v>
      </c>
      <c r="K472" t="s">
        <v>94</v>
      </c>
      <c r="L472" t="s">
        <v>37</v>
      </c>
      <c r="M472" s="44" t="str">
        <f t="shared" si="7"/>
        <v>10 hr |</v>
      </c>
    </row>
    <row r="473" spans="1:13" x14ac:dyDescent="0.25">
      <c r="A473" t="s">
        <v>180</v>
      </c>
      <c r="B473" t="s">
        <v>152</v>
      </c>
      <c r="C473" t="s">
        <v>22</v>
      </c>
      <c r="D473" s="1">
        <v>0.95833333333333337</v>
      </c>
      <c r="E473" s="1">
        <v>0.375</v>
      </c>
      <c r="F473">
        <v>26.88</v>
      </c>
      <c r="G473">
        <v>0</v>
      </c>
      <c r="H473">
        <v>10</v>
      </c>
      <c r="K473" t="s">
        <v>97</v>
      </c>
      <c r="L473" t="s">
        <v>37</v>
      </c>
      <c r="M473" s="44" t="str">
        <f t="shared" si="7"/>
        <v>10 hr |</v>
      </c>
    </row>
    <row r="474" spans="1:13" x14ac:dyDescent="0.25">
      <c r="A474" t="s">
        <v>180</v>
      </c>
      <c r="B474" t="s">
        <v>114</v>
      </c>
      <c r="C474" t="s">
        <v>32</v>
      </c>
      <c r="D474" s="1">
        <v>0.95833333333333337</v>
      </c>
      <c r="E474" s="1">
        <v>0.375</v>
      </c>
      <c r="F474">
        <v>163.1</v>
      </c>
      <c r="G474">
        <v>163.1</v>
      </c>
      <c r="H474">
        <v>10</v>
      </c>
      <c r="I474">
        <v>201</v>
      </c>
      <c r="J474" t="s">
        <v>88</v>
      </c>
      <c r="K474" t="s">
        <v>89</v>
      </c>
      <c r="L474" t="s">
        <v>23</v>
      </c>
      <c r="M474" s="44" t="str">
        <f t="shared" si="7"/>
        <v>shift | 02 - HOURLY: 3 hr |</v>
      </c>
    </row>
    <row r="475" spans="1:13" x14ac:dyDescent="0.25">
      <c r="A475" t="s">
        <v>180</v>
      </c>
      <c r="B475" t="s">
        <v>131</v>
      </c>
      <c r="C475" t="s">
        <v>14</v>
      </c>
      <c r="D475" s="1">
        <v>0.95833333333333337</v>
      </c>
      <c r="E475" s="1">
        <v>0.29166666666666669</v>
      </c>
      <c r="F475">
        <v>30.5</v>
      </c>
      <c r="G475">
        <v>0</v>
      </c>
      <c r="H475">
        <v>8</v>
      </c>
      <c r="J475" t="s">
        <v>15</v>
      </c>
      <c r="K475" t="s">
        <v>20</v>
      </c>
      <c r="L475" t="s">
        <v>47</v>
      </c>
      <c r="M475" s="44" t="str">
        <f t="shared" si="7"/>
        <v>8 hr |</v>
      </c>
    </row>
    <row r="476" spans="1:13" x14ac:dyDescent="0.25">
      <c r="A476" t="s">
        <v>184</v>
      </c>
      <c r="B476" t="s">
        <v>126</v>
      </c>
      <c r="C476" t="s">
        <v>181</v>
      </c>
      <c r="D476" s="1">
        <v>0.30208333333333331</v>
      </c>
      <c r="E476" s="1">
        <v>0.625</v>
      </c>
      <c r="F476">
        <v>30.5</v>
      </c>
      <c r="G476">
        <v>0</v>
      </c>
      <c r="H476">
        <v>7.75</v>
      </c>
      <c r="K476" t="s">
        <v>185</v>
      </c>
      <c r="L476" t="s">
        <v>17</v>
      </c>
      <c r="M476" s="44" t="str">
        <f t="shared" si="7"/>
        <v>7.75 hr |</v>
      </c>
    </row>
    <row r="477" spans="1:13" x14ac:dyDescent="0.25">
      <c r="A477" t="s">
        <v>184</v>
      </c>
      <c r="B477" t="s">
        <v>18</v>
      </c>
      <c r="C477" t="s">
        <v>35</v>
      </c>
      <c r="D477" s="1">
        <v>0.35416666666666669</v>
      </c>
      <c r="E477" s="1">
        <v>0.625</v>
      </c>
      <c r="F477">
        <v>26.88</v>
      </c>
      <c r="G477">
        <v>0</v>
      </c>
      <c r="H477">
        <v>6.5</v>
      </c>
      <c r="J477" t="s">
        <v>15</v>
      </c>
      <c r="K477" t="s">
        <v>104</v>
      </c>
      <c r="L477" t="s">
        <v>17</v>
      </c>
      <c r="M477" s="44" t="str">
        <f t="shared" si="7"/>
        <v>6.5 hr |</v>
      </c>
    </row>
    <row r="478" spans="1:13" x14ac:dyDescent="0.25">
      <c r="A478" t="s">
        <v>184</v>
      </c>
      <c r="B478" t="s">
        <v>34</v>
      </c>
      <c r="C478" t="s">
        <v>35</v>
      </c>
      <c r="D478" s="1">
        <v>0.35416666666666669</v>
      </c>
      <c r="E478" s="1">
        <v>0.625</v>
      </c>
      <c r="F478">
        <v>26.88</v>
      </c>
      <c r="G478">
        <v>174.72</v>
      </c>
      <c r="H478">
        <v>6.5</v>
      </c>
      <c r="J478" t="s">
        <v>15</v>
      </c>
      <c r="K478" t="s">
        <v>104</v>
      </c>
      <c r="L478" t="s">
        <v>17</v>
      </c>
      <c r="M478" s="44" t="str">
        <f t="shared" si="7"/>
        <v>6.5 hr |</v>
      </c>
    </row>
    <row r="479" spans="1:13" x14ac:dyDescent="0.25">
      <c r="A479" t="s">
        <v>184</v>
      </c>
      <c r="B479" t="s">
        <v>69</v>
      </c>
      <c r="C479" t="s">
        <v>70</v>
      </c>
      <c r="D479" s="1">
        <v>0.375</v>
      </c>
      <c r="E479" s="1">
        <v>0.625</v>
      </c>
      <c r="F479">
        <v>30.5</v>
      </c>
      <c r="G479">
        <v>152.5</v>
      </c>
      <c r="H479">
        <v>6</v>
      </c>
      <c r="K479" t="s">
        <v>42</v>
      </c>
      <c r="L479" t="s">
        <v>57</v>
      </c>
      <c r="M479" s="44" t="str">
        <f t="shared" si="7"/>
        <v>6 hr |</v>
      </c>
    </row>
    <row r="480" spans="1:13" x14ac:dyDescent="0.25">
      <c r="A480" t="s">
        <v>184</v>
      </c>
      <c r="B480" t="s">
        <v>45</v>
      </c>
      <c r="C480" t="s">
        <v>46</v>
      </c>
      <c r="D480" s="1">
        <v>0.375</v>
      </c>
      <c r="E480" s="1">
        <v>0.625</v>
      </c>
      <c r="F480">
        <v>27.22</v>
      </c>
      <c r="G480">
        <v>163.32</v>
      </c>
      <c r="H480">
        <v>6</v>
      </c>
      <c r="I480">
        <v>504</v>
      </c>
      <c r="J480" t="s">
        <v>15</v>
      </c>
      <c r="K480" t="s">
        <v>29</v>
      </c>
      <c r="L480" t="s">
        <v>47</v>
      </c>
      <c r="M480" s="44" t="str">
        <f t="shared" si="7"/>
        <v>6 hr |</v>
      </c>
    </row>
    <row r="481" spans="1:13" x14ac:dyDescent="0.25">
      <c r="A481" t="s">
        <v>184</v>
      </c>
      <c r="B481" t="s">
        <v>24</v>
      </c>
      <c r="C481" t="s">
        <v>22</v>
      </c>
      <c r="D481" s="1">
        <v>0.375</v>
      </c>
      <c r="E481" s="1">
        <v>0.70833333333333337</v>
      </c>
      <c r="F481">
        <v>26.88</v>
      </c>
      <c r="G481">
        <v>0</v>
      </c>
      <c r="H481">
        <v>8</v>
      </c>
      <c r="K481" t="s">
        <v>20</v>
      </c>
      <c r="L481" t="s">
        <v>23</v>
      </c>
      <c r="M481" s="44" t="str">
        <f t="shared" si="7"/>
        <v>8 hr |</v>
      </c>
    </row>
    <row r="482" spans="1:13" x14ac:dyDescent="0.25">
      <c r="A482" t="s">
        <v>184</v>
      </c>
      <c r="B482" t="s">
        <v>31</v>
      </c>
      <c r="C482" t="s">
        <v>32</v>
      </c>
      <c r="D482" s="1">
        <v>0.375</v>
      </c>
      <c r="E482" s="1">
        <v>0.625</v>
      </c>
      <c r="F482">
        <v>27.22</v>
      </c>
      <c r="G482">
        <v>163.32</v>
      </c>
      <c r="H482">
        <v>6</v>
      </c>
      <c r="I482">
        <v>402</v>
      </c>
      <c r="J482" t="s">
        <v>15</v>
      </c>
      <c r="K482" t="s">
        <v>29</v>
      </c>
      <c r="L482" t="s">
        <v>17</v>
      </c>
      <c r="M482" s="44" t="str">
        <f t="shared" si="7"/>
        <v>6 hr |</v>
      </c>
    </row>
    <row r="483" spans="1:13" x14ac:dyDescent="0.25">
      <c r="A483" t="s">
        <v>184</v>
      </c>
      <c r="B483" t="s">
        <v>66</v>
      </c>
      <c r="C483" t="s">
        <v>46</v>
      </c>
      <c r="D483" s="1">
        <v>0.375</v>
      </c>
      <c r="E483" s="1">
        <v>0.625</v>
      </c>
      <c r="F483">
        <v>26.88</v>
      </c>
      <c r="G483">
        <v>0</v>
      </c>
      <c r="H483">
        <v>6</v>
      </c>
      <c r="I483">
        <v>318</v>
      </c>
      <c r="J483" t="s">
        <v>15</v>
      </c>
      <c r="K483" t="s">
        <v>42</v>
      </c>
      <c r="L483" t="s">
        <v>37</v>
      </c>
      <c r="M483" s="44" t="str">
        <f t="shared" si="7"/>
        <v>6 hr |</v>
      </c>
    </row>
    <row r="484" spans="1:13" x14ac:dyDescent="0.25">
      <c r="A484" t="s">
        <v>184</v>
      </c>
      <c r="B484" t="s">
        <v>111</v>
      </c>
      <c r="C484" t="s">
        <v>32</v>
      </c>
      <c r="D484" s="1">
        <v>0.375</v>
      </c>
      <c r="E484" s="1">
        <v>0.70833333333333337</v>
      </c>
      <c r="F484">
        <v>27.22</v>
      </c>
      <c r="G484">
        <v>217.76</v>
      </c>
      <c r="H484">
        <v>8</v>
      </c>
      <c r="I484">
        <v>211</v>
      </c>
      <c r="J484" t="s">
        <v>15</v>
      </c>
      <c r="K484" t="s">
        <v>52</v>
      </c>
      <c r="L484" t="s">
        <v>17</v>
      </c>
      <c r="M484" s="44" t="str">
        <f t="shared" si="7"/>
        <v>8 hr |</v>
      </c>
    </row>
    <row r="485" spans="1:13" x14ac:dyDescent="0.25">
      <c r="A485" t="s">
        <v>184</v>
      </c>
      <c r="B485" t="s">
        <v>114</v>
      </c>
      <c r="C485" t="s">
        <v>32</v>
      </c>
      <c r="D485" s="1">
        <v>0.375</v>
      </c>
      <c r="E485" s="1">
        <v>0.70833333333333337</v>
      </c>
      <c r="F485">
        <v>26.88</v>
      </c>
      <c r="G485">
        <v>0</v>
      </c>
      <c r="H485">
        <v>8</v>
      </c>
      <c r="I485">
        <v>318</v>
      </c>
      <c r="J485" t="s">
        <v>15</v>
      </c>
      <c r="K485" t="s">
        <v>20</v>
      </c>
      <c r="L485" t="s">
        <v>17</v>
      </c>
      <c r="M485" s="44" t="str">
        <f t="shared" si="7"/>
        <v>8 hr |</v>
      </c>
    </row>
    <row r="486" spans="1:13" x14ac:dyDescent="0.25">
      <c r="A486" t="s">
        <v>184</v>
      </c>
      <c r="B486" t="s">
        <v>108</v>
      </c>
      <c r="C486" t="s">
        <v>46</v>
      </c>
      <c r="D486" s="1">
        <v>0.375</v>
      </c>
      <c r="E486" s="1">
        <v>0.70833333333333337</v>
      </c>
      <c r="F486">
        <v>26.88</v>
      </c>
      <c r="G486">
        <v>0</v>
      </c>
      <c r="H486">
        <v>8</v>
      </c>
      <c r="I486">
        <v>401</v>
      </c>
      <c r="J486" t="s">
        <v>15</v>
      </c>
      <c r="K486" t="s">
        <v>20</v>
      </c>
      <c r="L486" t="s">
        <v>47</v>
      </c>
      <c r="M486" s="44" t="str">
        <f t="shared" si="7"/>
        <v>8 hr |</v>
      </c>
    </row>
    <row r="487" spans="1:13" x14ac:dyDescent="0.25">
      <c r="A487" t="s">
        <v>184</v>
      </c>
      <c r="B487" t="s">
        <v>105</v>
      </c>
      <c r="C487" t="s">
        <v>46</v>
      </c>
      <c r="D487" s="1">
        <v>0.375</v>
      </c>
      <c r="E487" s="1">
        <v>0.70833333333333337</v>
      </c>
      <c r="F487">
        <v>26.88</v>
      </c>
      <c r="G487">
        <v>0</v>
      </c>
      <c r="H487">
        <v>8</v>
      </c>
      <c r="I487">
        <v>605</v>
      </c>
      <c r="J487" t="s">
        <v>15</v>
      </c>
      <c r="K487" t="s">
        <v>106</v>
      </c>
      <c r="L487" t="s">
        <v>47</v>
      </c>
      <c r="M487" s="44" t="str">
        <f t="shared" si="7"/>
        <v>0 hr |</v>
      </c>
    </row>
    <row r="488" spans="1:13" x14ac:dyDescent="0.25">
      <c r="A488" t="s">
        <v>184</v>
      </c>
      <c r="B488" t="s">
        <v>72</v>
      </c>
      <c r="C488" t="s">
        <v>46</v>
      </c>
      <c r="D488" s="1">
        <v>0.38541666666666669</v>
      </c>
      <c r="E488" s="1">
        <v>0.625</v>
      </c>
      <c r="F488">
        <v>27.22</v>
      </c>
      <c r="G488">
        <v>163.32</v>
      </c>
      <c r="H488">
        <v>5.75</v>
      </c>
      <c r="I488">
        <v>518</v>
      </c>
      <c r="J488" t="s">
        <v>15</v>
      </c>
      <c r="K488" t="s">
        <v>29</v>
      </c>
      <c r="L488" t="s">
        <v>47</v>
      </c>
      <c r="M488" s="44" t="str">
        <f t="shared" si="7"/>
        <v>6 hr |</v>
      </c>
    </row>
    <row r="489" spans="1:13" x14ac:dyDescent="0.25">
      <c r="A489" t="s">
        <v>184</v>
      </c>
      <c r="B489" t="s">
        <v>71</v>
      </c>
      <c r="C489" t="s">
        <v>70</v>
      </c>
      <c r="D489" s="1">
        <v>0.41666666666666669</v>
      </c>
      <c r="E489" s="1">
        <v>0.625</v>
      </c>
      <c r="F489">
        <v>30.5</v>
      </c>
      <c r="G489">
        <v>122</v>
      </c>
      <c r="H489">
        <v>5</v>
      </c>
      <c r="K489" t="s">
        <v>87</v>
      </c>
      <c r="L489" t="s">
        <v>57</v>
      </c>
      <c r="M489" s="44" t="str">
        <f t="shared" si="7"/>
        <v>5 hr |</v>
      </c>
    </row>
    <row r="490" spans="1:13" x14ac:dyDescent="0.25">
      <c r="A490" t="s">
        <v>184</v>
      </c>
      <c r="B490" t="s">
        <v>186</v>
      </c>
      <c r="C490" t="s">
        <v>70</v>
      </c>
      <c r="D490" s="1">
        <v>0.41666666666666669</v>
      </c>
      <c r="E490" s="1">
        <v>0.625</v>
      </c>
      <c r="F490">
        <v>30.5</v>
      </c>
      <c r="G490">
        <v>122</v>
      </c>
      <c r="H490">
        <v>5</v>
      </c>
      <c r="K490" t="s">
        <v>87</v>
      </c>
      <c r="L490" t="s">
        <v>17</v>
      </c>
      <c r="M490" s="44" t="str">
        <f t="shared" si="7"/>
        <v>5 hr |</v>
      </c>
    </row>
    <row r="491" spans="1:13" x14ac:dyDescent="0.25">
      <c r="A491" t="s">
        <v>184</v>
      </c>
      <c r="B491" t="s">
        <v>113</v>
      </c>
      <c r="C491" t="s">
        <v>46</v>
      </c>
      <c r="D491" s="1">
        <v>0.4375</v>
      </c>
      <c r="E491" s="1">
        <v>0.60416666666666663</v>
      </c>
      <c r="F491">
        <v>27.22</v>
      </c>
      <c r="G491">
        <v>108.88</v>
      </c>
      <c r="H491">
        <v>4</v>
      </c>
      <c r="I491">
        <v>411</v>
      </c>
      <c r="J491" t="s">
        <v>15</v>
      </c>
      <c r="K491" t="s">
        <v>68</v>
      </c>
      <c r="L491" t="s">
        <v>47</v>
      </c>
      <c r="M491" s="44" t="str">
        <f t="shared" si="7"/>
        <v>4 hr |</v>
      </c>
    </row>
    <row r="492" spans="1:13" x14ac:dyDescent="0.25">
      <c r="A492" t="s">
        <v>184</v>
      </c>
      <c r="B492" t="s">
        <v>74</v>
      </c>
      <c r="C492" t="s">
        <v>75</v>
      </c>
      <c r="D492" s="1">
        <v>0.5</v>
      </c>
      <c r="E492" s="1">
        <v>0.79166666666666663</v>
      </c>
      <c r="F492">
        <v>26.88</v>
      </c>
      <c r="G492">
        <v>188.16</v>
      </c>
      <c r="H492">
        <v>7</v>
      </c>
      <c r="K492" t="s">
        <v>56</v>
      </c>
      <c r="L492" t="s">
        <v>30</v>
      </c>
      <c r="M492" s="44" t="str">
        <f t="shared" si="7"/>
        <v>7 hr |</v>
      </c>
    </row>
    <row r="493" spans="1:13" x14ac:dyDescent="0.25">
      <c r="A493" t="s">
        <v>184</v>
      </c>
      <c r="B493" t="s">
        <v>112</v>
      </c>
      <c r="C493" t="s">
        <v>73</v>
      </c>
      <c r="D493" s="1">
        <v>0.5</v>
      </c>
      <c r="E493" s="1">
        <v>0.70833333333333337</v>
      </c>
      <c r="F493">
        <v>22</v>
      </c>
      <c r="G493">
        <v>110</v>
      </c>
      <c r="H493">
        <v>5</v>
      </c>
      <c r="K493" t="s">
        <v>158</v>
      </c>
      <c r="L493" t="s">
        <v>57</v>
      </c>
      <c r="M493" s="44" t="str">
        <f t="shared" si="7"/>
        <v>5 hr |</v>
      </c>
    </row>
    <row r="494" spans="1:13" x14ac:dyDescent="0.25">
      <c r="A494" t="s">
        <v>184</v>
      </c>
      <c r="B494" t="s">
        <v>76</v>
      </c>
      <c r="C494" t="s">
        <v>28</v>
      </c>
      <c r="D494" s="1">
        <v>0.58333333333333337</v>
      </c>
      <c r="E494" s="1">
        <v>0.91666666666666663</v>
      </c>
      <c r="F494">
        <v>26.88</v>
      </c>
      <c r="G494">
        <v>0</v>
      </c>
      <c r="H494">
        <v>8</v>
      </c>
      <c r="K494" t="s">
        <v>20</v>
      </c>
      <c r="L494" t="s">
        <v>47</v>
      </c>
      <c r="M494" s="44" t="str">
        <f t="shared" si="7"/>
        <v>8 hr |</v>
      </c>
    </row>
    <row r="495" spans="1:13" x14ac:dyDescent="0.25">
      <c r="A495" t="s">
        <v>184</v>
      </c>
      <c r="B495" t="s">
        <v>101</v>
      </c>
      <c r="C495" t="s">
        <v>78</v>
      </c>
      <c r="D495" s="1">
        <v>0.625</v>
      </c>
      <c r="E495" s="1">
        <v>0.95833333333333337</v>
      </c>
      <c r="F495">
        <v>35</v>
      </c>
      <c r="G495">
        <v>0</v>
      </c>
      <c r="H495">
        <v>8</v>
      </c>
      <c r="K495" t="s">
        <v>106</v>
      </c>
      <c r="L495" t="s">
        <v>57</v>
      </c>
      <c r="M495" s="44" t="str">
        <f t="shared" si="7"/>
        <v>0 hr |</v>
      </c>
    </row>
    <row r="496" spans="1:13" x14ac:dyDescent="0.25">
      <c r="A496" t="s">
        <v>184</v>
      </c>
      <c r="B496" t="s">
        <v>79</v>
      </c>
      <c r="C496" t="s">
        <v>28</v>
      </c>
      <c r="D496" s="1">
        <v>0.625</v>
      </c>
      <c r="E496" s="1">
        <v>0.95833333333333337</v>
      </c>
      <c r="F496">
        <v>27.22</v>
      </c>
      <c r="G496">
        <v>217.76</v>
      </c>
      <c r="H496">
        <v>8</v>
      </c>
      <c r="K496" t="s">
        <v>52</v>
      </c>
      <c r="L496" t="s">
        <v>47</v>
      </c>
      <c r="M496" s="44" t="str">
        <f t="shared" si="7"/>
        <v>8 hr |</v>
      </c>
    </row>
    <row r="497" spans="1:13" x14ac:dyDescent="0.25">
      <c r="A497" t="s">
        <v>184</v>
      </c>
      <c r="B497" t="s">
        <v>102</v>
      </c>
      <c r="C497" t="s">
        <v>14</v>
      </c>
      <c r="D497" s="1">
        <v>0.625</v>
      </c>
      <c r="E497" s="1">
        <v>0.95833333333333337</v>
      </c>
      <c r="F497">
        <v>30.5</v>
      </c>
      <c r="G497">
        <v>0</v>
      </c>
      <c r="H497">
        <v>8</v>
      </c>
      <c r="J497" t="s">
        <v>15</v>
      </c>
      <c r="K497" t="s">
        <v>20</v>
      </c>
      <c r="L497" t="s">
        <v>47</v>
      </c>
      <c r="M497" s="44" t="str">
        <f t="shared" si="7"/>
        <v>8 hr |</v>
      </c>
    </row>
    <row r="498" spans="1:13" x14ac:dyDescent="0.25">
      <c r="A498" t="s">
        <v>184</v>
      </c>
      <c r="B498" t="s">
        <v>27</v>
      </c>
      <c r="C498" t="s">
        <v>22</v>
      </c>
      <c r="D498" s="1">
        <v>0.625</v>
      </c>
      <c r="E498" s="1">
        <v>0.95833333333333337</v>
      </c>
      <c r="F498">
        <v>26.88</v>
      </c>
      <c r="G498">
        <v>215.04</v>
      </c>
      <c r="H498">
        <v>8</v>
      </c>
      <c r="K498" t="s">
        <v>20</v>
      </c>
      <c r="L498" t="s">
        <v>23</v>
      </c>
      <c r="M498" s="44" t="str">
        <f t="shared" si="7"/>
        <v>8 hr |</v>
      </c>
    </row>
    <row r="499" spans="1:13" x14ac:dyDescent="0.25">
      <c r="A499" t="s">
        <v>184</v>
      </c>
      <c r="B499" t="s">
        <v>60</v>
      </c>
      <c r="C499" t="s">
        <v>32</v>
      </c>
      <c r="D499" s="1">
        <v>0.625</v>
      </c>
      <c r="E499" s="1">
        <v>0.95833333333333337</v>
      </c>
      <c r="F499">
        <v>27.22</v>
      </c>
      <c r="G499">
        <v>217.76</v>
      </c>
      <c r="H499">
        <v>8</v>
      </c>
      <c r="I499" t="s">
        <v>160</v>
      </c>
      <c r="J499" t="s">
        <v>15</v>
      </c>
      <c r="K499" t="s">
        <v>52</v>
      </c>
      <c r="L499" t="s">
        <v>17</v>
      </c>
      <c r="M499" s="44" t="str">
        <f t="shared" si="7"/>
        <v>8 hr |</v>
      </c>
    </row>
    <row r="500" spans="1:13" x14ac:dyDescent="0.25">
      <c r="A500" t="s">
        <v>184</v>
      </c>
      <c r="B500" t="s">
        <v>131</v>
      </c>
      <c r="C500" t="s">
        <v>14</v>
      </c>
      <c r="D500" s="1">
        <v>0.625</v>
      </c>
      <c r="E500" s="1">
        <v>0.95833333333333337</v>
      </c>
      <c r="F500">
        <v>30.5</v>
      </c>
      <c r="G500">
        <v>0</v>
      </c>
      <c r="H500">
        <v>8</v>
      </c>
      <c r="J500" t="s">
        <v>15</v>
      </c>
      <c r="K500" t="s">
        <v>20</v>
      </c>
      <c r="L500" t="s">
        <v>47</v>
      </c>
      <c r="M500" s="44" t="str">
        <f t="shared" si="7"/>
        <v>8 hr |</v>
      </c>
    </row>
    <row r="501" spans="1:13" x14ac:dyDescent="0.25">
      <c r="A501" t="s">
        <v>184</v>
      </c>
      <c r="B501" t="s">
        <v>141</v>
      </c>
      <c r="C501" t="s">
        <v>32</v>
      </c>
      <c r="D501" s="1">
        <v>0.625</v>
      </c>
      <c r="E501" s="1">
        <v>0.95833333333333337</v>
      </c>
      <c r="F501">
        <v>27.22</v>
      </c>
      <c r="G501">
        <v>217.76</v>
      </c>
      <c r="H501">
        <v>8</v>
      </c>
      <c r="I501" t="s">
        <v>142</v>
      </c>
      <c r="J501" t="s">
        <v>15</v>
      </c>
      <c r="K501" t="s">
        <v>52</v>
      </c>
      <c r="L501" t="s">
        <v>47</v>
      </c>
      <c r="M501" s="44" t="str">
        <f t="shared" si="7"/>
        <v>8 hr |</v>
      </c>
    </row>
    <row r="502" spans="1:13" x14ac:dyDescent="0.25">
      <c r="A502" t="s">
        <v>184</v>
      </c>
      <c r="B502" t="s">
        <v>163</v>
      </c>
      <c r="C502" t="s">
        <v>187</v>
      </c>
      <c r="D502" s="1">
        <v>0.64583333333333337</v>
      </c>
      <c r="E502" s="1">
        <v>0.8125</v>
      </c>
      <c r="F502">
        <v>29.63</v>
      </c>
      <c r="G502">
        <v>0</v>
      </c>
      <c r="H502">
        <v>4</v>
      </c>
      <c r="K502" t="s">
        <v>16</v>
      </c>
      <c r="L502" t="s">
        <v>17</v>
      </c>
      <c r="M502" s="44" t="str">
        <f t="shared" si="7"/>
        <v>4 hr |</v>
      </c>
    </row>
    <row r="503" spans="1:13" x14ac:dyDescent="0.25">
      <c r="A503" t="s">
        <v>184</v>
      </c>
      <c r="B503" t="s">
        <v>13</v>
      </c>
      <c r="C503" t="s">
        <v>14</v>
      </c>
      <c r="D503" s="1">
        <v>0.64583333333333337</v>
      </c>
      <c r="E503" s="1">
        <v>0.95833333333333337</v>
      </c>
      <c r="F503">
        <v>30.5</v>
      </c>
      <c r="G503">
        <v>0</v>
      </c>
      <c r="H503">
        <v>7.5</v>
      </c>
      <c r="J503" t="s">
        <v>15</v>
      </c>
      <c r="K503" t="s">
        <v>39</v>
      </c>
      <c r="L503" t="s">
        <v>47</v>
      </c>
      <c r="M503" s="44" t="str">
        <f t="shared" si="7"/>
        <v>7.5 hr |</v>
      </c>
    </row>
    <row r="504" spans="1:13" x14ac:dyDescent="0.25">
      <c r="A504" t="s">
        <v>184</v>
      </c>
      <c r="B504" t="s">
        <v>38</v>
      </c>
      <c r="C504" t="s">
        <v>35</v>
      </c>
      <c r="D504" s="1">
        <v>0.66666666666666663</v>
      </c>
      <c r="E504" s="1">
        <v>0.95833333333333337</v>
      </c>
      <c r="F504">
        <v>26.88</v>
      </c>
      <c r="G504">
        <v>0</v>
      </c>
      <c r="H504">
        <v>7</v>
      </c>
      <c r="J504" t="s">
        <v>15</v>
      </c>
      <c r="K504" t="s">
        <v>56</v>
      </c>
      <c r="L504" t="s">
        <v>17</v>
      </c>
      <c r="M504" s="44" t="str">
        <f t="shared" si="7"/>
        <v>7 hr |</v>
      </c>
    </row>
    <row r="505" spans="1:13" x14ac:dyDescent="0.25">
      <c r="A505" t="s">
        <v>184</v>
      </c>
      <c r="B505" t="s">
        <v>54</v>
      </c>
      <c r="C505" t="s">
        <v>55</v>
      </c>
      <c r="D505" s="1">
        <v>0.66666666666666663</v>
      </c>
      <c r="E505" s="1">
        <v>0.875</v>
      </c>
      <c r="F505">
        <v>26.88</v>
      </c>
      <c r="G505">
        <v>0</v>
      </c>
      <c r="H505">
        <v>5</v>
      </c>
      <c r="K505" t="s">
        <v>106</v>
      </c>
      <c r="L505" t="s">
        <v>57</v>
      </c>
      <c r="M505" s="44" t="str">
        <f t="shared" si="7"/>
        <v>0 hr |</v>
      </c>
    </row>
    <row r="506" spans="1:13" x14ac:dyDescent="0.25">
      <c r="A506" t="s">
        <v>184</v>
      </c>
      <c r="B506" t="s">
        <v>61</v>
      </c>
      <c r="C506" t="s">
        <v>32</v>
      </c>
      <c r="D506" s="1">
        <v>0.66666666666666663</v>
      </c>
      <c r="E506" s="1">
        <v>0.95833333333333337</v>
      </c>
      <c r="F506">
        <v>27.22</v>
      </c>
      <c r="G506">
        <v>190.54</v>
      </c>
      <c r="H506">
        <v>7</v>
      </c>
      <c r="I506">
        <v>318</v>
      </c>
      <c r="J506" t="s">
        <v>15</v>
      </c>
      <c r="K506" t="s">
        <v>33</v>
      </c>
      <c r="L506" t="s">
        <v>17</v>
      </c>
      <c r="M506" s="44" t="str">
        <f t="shared" si="7"/>
        <v>7 hr |</v>
      </c>
    </row>
    <row r="507" spans="1:13" x14ac:dyDescent="0.25">
      <c r="A507" t="s">
        <v>184</v>
      </c>
      <c r="B507" t="s">
        <v>126</v>
      </c>
      <c r="C507" t="s">
        <v>188</v>
      </c>
      <c r="D507" s="1">
        <v>0.6875</v>
      </c>
      <c r="E507" s="1">
        <v>0.85416666666666663</v>
      </c>
      <c r="F507">
        <v>31.42</v>
      </c>
      <c r="G507">
        <v>0</v>
      </c>
      <c r="H507">
        <v>4</v>
      </c>
      <c r="K507" t="s">
        <v>16</v>
      </c>
      <c r="L507" t="s">
        <v>17</v>
      </c>
      <c r="M507" s="44" t="str">
        <f t="shared" si="7"/>
        <v>4 hr |</v>
      </c>
    </row>
    <row r="508" spans="1:13" x14ac:dyDescent="0.25">
      <c r="A508" t="s">
        <v>184</v>
      </c>
      <c r="B508" t="s">
        <v>189</v>
      </c>
      <c r="C508" t="s">
        <v>190</v>
      </c>
      <c r="D508" s="1">
        <v>0.6875</v>
      </c>
      <c r="E508" s="1">
        <v>0.85416666666666663</v>
      </c>
      <c r="F508">
        <v>31.42</v>
      </c>
      <c r="G508">
        <v>0</v>
      </c>
      <c r="H508">
        <v>4</v>
      </c>
      <c r="K508" t="s">
        <v>16</v>
      </c>
      <c r="L508" t="s">
        <v>17</v>
      </c>
      <c r="M508" s="44" t="str">
        <f t="shared" si="7"/>
        <v>4 hr |</v>
      </c>
    </row>
    <row r="509" spans="1:13" x14ac:dyDescent="0.25">
      <c r="A509" t="s">
        <v>184</v>
      </c>
      <c r="B509" t="s">
        <v>139</v>
      </c>
      <c r="C509" t="s">
        <v>44</v>
      </c>
      <c r="D509" s="1">
        <v>0.6875</v>
      </c>
      <c r="E509" s="1">
        <v>0.91666666666666663</v>
      </c>
      <c r="F509">
        <v>27.22</v>
      </c>
      <c r="G509">
        <v>163.32</v>
      </c>
      <c r="H509">
        <v>5.5</v>
      </c>
      <c r="J509" t="s">
        <v>15</v>
      </c>
      <c r="K509" t="s">
        <v>191</v>
      </c>
      <c r="L509" t="s">
        <v>132</v>
      </c>
      <c r="M509" s="44" t="str">
        <f t="shared" si="7"/>
        <v>5.5 hr |</v>
      </c>
    </row>
    <row r="510" spans="1:13" x14ac:dyDescent="0.25">
      <c r="A510" t="s">
        <v>184</v>
      </c>
      <c r="B510" t="s">
        <v>85</v>
      </c>
      <c r="C510" t="s">
        <v>49</v>
      </c>
      <c r="D510" s="1">
        <v>0.70833333333333337</v>
      </c>
      <c r="E510" s="1">
        <v>0.95833333333333337</v>
      </c>
      <c r="F510">
        <v>27.22</v>
      </c>
      <c r="G510">
        <v>163.32</v>
      </c>
      <c r="H510">
        <v>6</v>
      </c>
      <c r="I510" t="s">
        <v>50</v>
      </c>
      <c r="K510" t="s">
        <v>29</v>
      </c>
      <c r="L510" t="s">
        <v>47</v>
      </c>
      <c r="M510" s="44" t="str">
        <f t="shared" si="7"/>
        <v>6 hr |</v>
      </c>
    </row>
    <row r="511" spans="1:13" x14ac:dyDescent="0.25">
      <c r="A511" t="s">
        <v>184</v>
      </c>
      <c r="B511" t="s">
        <v>116</v>
      </c>
      <c r="C511" t="s">
        <v>49</v>
      </c>
      <c r="D511" s="1">
        <v>0.70833333333333337</v>
      </c>
      <c r="E511" s="1">
        <v>0.95833333333333337</v>
      </c>
      <c r="F511">
        <v>26.88</v>
      </c>
      <c r="G511">
        <v>0</v>
      </c>
      <c r="H511">
        <v>6</v>
      </c>
      <c r="I511" t="s">
        <v>50</v>
      </c>
      <c r="K511" t="s">
        <v>42</v>
      </c>
      <c r="L511" t="s">
        <v>47</v>
      </c>
      <c r="M511" s="44" t="str">
        <f t="shared" si="7"/>
        <v>6 hr |</v>
      </c>
    </row>
    <row r="512" spans="1:13" x14ac:dyDescent="0.25">
      <c r="A512" t="s">
        <v>184</v>
      </c>
      <c r="B512" t="s">
        <v>21</v>
      </c>
      <c r="C512" t="s">
        <v>22</v>
      </c>
      <c r="D512" s="1">
        <v>0.70833333333333337</v>
      </c>
      <c r="E512" s="1">
        <v>0.95833333333333337</v>
      </c>
      <c r="F512">
        <v>26.88</v>
      </c>
      <c r="G512">
        <v>0</v>
      </c>
      <c r="H512">
        <v>6</v>
      </c>
      <c r="K512" t="s">
        <v>42</v>
      </c>
      <c r="L512" t="s">
        <v>23</v>
      </c>
      <c r="M512" s="44" t="str">
        <f t="shared" si="7"/>
        <v>6 hr |</v>
      </c>
    </row>
    <row r="513" spans="1:13" x14ac:dyDescent="0.25">
      <c r="A513" t="s">
        <v>184</v>
      </c>
      <c r="B513" t="s">
        <v>83</v>
      </c>
      <c r="C513" t="s">
        <v>46</v>
      </c>
      <c r="D513" s="1">
        <v>0.70833333333333337</v>
      </c>
      <c r="E513" s="1">
        <v>0.95833333333333337</v>
      </c>
      <c r="F513">
        <v>27.22</v>
      </c>
      <c r="G513">
        <v>163.32</v>
      </c>
      <c r="H513">
        <v>6</v>
      </c>
      <c r="I513">
        <v>411</v>
      </c>
      <c r="J513" t="s">
        <v>15</v>
      </c>
      <c r="K513" t="s">
        <v>29</v>
      </c>
      <c r="L513" t="s">
        <v>57</v>
      </c>
      <c r="M513" s="44" t="str">
        <f t="shared" si="7"/>
        <v>6 hr |</v>
      </c>
    </row>
    <row r="514" spans="1:13" x14ac:dyDescent="0.25">
      <c r="A514" t="s">
        <v>184</v>
      </c>
      <c r="B514" t="s">
        <v>107</v>
      </c>
      <c r="C514" t="s">
        <v>59</v>
      </c>
      <c r="D514" s="1">
        <v>0.70833333333333337</v>
      </c>
      <c r="E514" s="1">
        <v>0.91666666666666663</v>
      </c>
      <c r="F514">
        <v>26.88</v>
      </c>
      <c r="G514">
        <v>161.28</v>
      </c>
      <c r="H514">
        <v>5</v>
      </c>
      <c r="J514" t="s">
        <v>15</v>
      </c>
      <c r="K514" t="s">
        <v>87</v>
      </c>
      <c r="L514" t="s">
        <v>57</v>
      </c>
      <c r="M514" s="44" t="str">
        <f t="shared" si="7"/>
        <v>5 hr |</v>
      </c>
    </row>
    <row r="515" spans="1:13" x14ac:dyDescent="0.25">
      <c r="A515" t="s">
        <v>184</v>
      </c>
      <c r="B515" t="s">
        <v>62</v>
      </c>
      <c r="C515" t="s">
        <v>44</v>
      </c>
      <c r="D515" s="1">
        <v>0.70833333333333337</v>
      </c>
      <c r="E515" s="1">
        <v>0.875</v>
      </c>
      <c r="F515">
        <v>27.22</v>
      </c>
      <c r="G515">
        <v>108.88</v>
      </c>
      <c r="H515">
        <v>4</v>
      </c>
      <c r="J515" t="s">
        <v>15</v>
      </c>
      <c r="K515" t="s">
        <v>68</v>
      </c>
      <c r="L515" t="s">
        <v>17</v>
      </c>
      <c r="M515" s="44" t="str">
        <f t="shared" ref="M515:M578" si="8">IF($K515="","",TRIM(MID($K515,FIND(":",$K515)+1,LEN($K515))))</f>
        <v>4 hr |</v>
      </c>
    </row>
    <row r="516" spans="1:13" x14ac:dyDescent="0.25">
      <c r="A516" t="s">
        <v>184</v>
      </c>
      <c r="B516" t="s">
        <v>112</v>
      </c>
      <c r="C516" t="s">
        <v>46</v>
      </c>
      <c r="D516" s="1">
        <v>0.70833333333333337</v>
      </c>
      <c r="E516" s="1">
        <v>0.95833333333333337</v>
      </c>
      <c r="F516">
        <v>27.22</v>
      </c>
      <c r="G516">
        <v>163.32</v>
      </c>
      <c r="H516">
        <v>6</v>
      </c>
      <c r="I516">
        <v>401</v>
      </c>
      <c r="J516" t="s">
        <v>15</v>
      </c>
      <c r="K516" t="s">
        <v>29</v>
      </c>
      <c r="L516" t="s">
        <v>47</v>
      </c>
      <c r="M516" s="44" t="str">
        <f t="shared" si="8"/>
        <v>6 hr |</v>
      </c>
    </row>
    <row r="517" spans="1:13" x14ac:dyDescent="0.25">
      <c r="A517" t="s">
        <v>184</v>
      </c>
      <c r="B517" t="s">
        <v>141</v>
      </c>
      <c r="C517" t="s">
        <v>32</v>
      </c>
      <c r="D517" s="1">
        <v>0.95833333333333337</v>
      </c>
      <c r="E517" s="1">
        <v>0.375</v>
      </c>
      <c r="F517">
        <v>163.1</v>
      </c>
      <c r="G517">
        <v>81.66</v>
      </c>
      <c r="H517">
        <v>10</v>
      </c>
      <c r="I517" t="s">
        <v>142</v>
      </c>
      <c r="J517" t="s">
        <v>88</v>
      </c>
      <c r="K517" t="s">
        <v>140</v>
      </c>
      <c r="L517" t="s">
        <v>17</v>
      </c>
      <c r="M517" s="44" t="str">
        <f t="shared" si="8"/>
        <v>shift | 02 - HOURLY-MEDS: 3 hr |</v>
      </c>
    </row>
    <row r="518" spans="1:13" x14ac:dyDescent="0.25">
      <c r="A518" t="s">
        <v>184</v>
      </c>
      <c r="B518" t="s">
        <v>61</v>
      </c>
      <c r="C518" t="s">
        <v>32</v>
      </c>
      <c r="D518" s="1">
        <v>0.95833333333333337</v>
      </c>
      <c r="E518" s="1">
        <v>0.29166666666666669</v>
      </c>
      <c r="F518">
        <v>27.22</v>
      </c>
      <c r="G518">
        <v>217.76</v>
      </c>
      <c r="H518">
        <v>8</v>
      </c>
      <c r="I518">
        <v>214</v>
      </c>
      <c r="J518" t="s">
        <v>15</v>
      </c>
      <c r="K518" t="s">
        <v>52</v>
      </c>
      <c r="L518" t="s">
        <v>17</v>
      </c>
      <c r="M518" s="44" t="str">
        <f t="shared" si="8"/>
        <v>8 hr |</v>
      </c>
    </row>
    <row r="519" spans="1:13" x14ac:dyDescent="0.25">
      <c r="A519" t="s">
        <v>184</v>
      </c>
      <c r="B519" t="s">
        <v>139</v>
      </c>
      <c r="C519" t="s">
        <v>44</v>
      </c>
      <c r="D519" s="1">
        <v>0.95833333333333337</v>
      </c>
      <c r="E519" s="1">
        <v>0.375</v>
      </c>
      <c r="F519">
        <v>163.1</v>
      </c>
      <c r="G519">
        <v>81.66</v>
      </c>
      <c r="H519">
        <v>10</v>
      </c>
      <c r="J519" t="s">
        <v>88</v>
      </c>
      <c r="K519" t="s">
        <v>140</v>
      </c>
      <c r="L519" t="s">
        <v>30</v>
      </c>
      <c r="M519" s="44" t="str">
        <f t="shared" si="8"/>
        <v>shift | 02 - HOURLY-MEDS: 3 hr |</v>
      </c>
    </row>
    <row r="520" spans="1:13" x14ac:dyDescent="0.25">
      <c r="A520" t="s">
        <v>184</v>
      </c>
      <c r="B520" t="s">
        <v>131</v>
      </c>
      <c r="C520" t="s">
        <v>14</v>
      </c>
      <c r="D520" s="1">
        <v>0.95833333333333337</v>
      </c>
      <c r="E520" s="1">
        <v>0.29166666666666669</v>
      </c>
      <c r="F520">
        <v>30.5</v>
      </c>
      <c r="G520">
        <v>0</v>
      </c>
      <c r="H520">
        <v>8</v>
      </c>
      <c r="J520" t="s">
        <v>15</v>
      </c>
      <c r="K520" t="s">
        <v>20</v>
      </c>
      <c r="L520" t="s">
        <v>47</v>
      </c>
      <c r="M520" s="44" t="str">
        <f t="shared" si="8"/>
        <v>8 hr |</v>
      </c>
    </row>
    <row r="521" spans="1:13" x14ac:dyDescent="0.25">
      <c r="A521" t="s">
        <v>184</v>
      </c>
      <c r="B521" t="s">
        <v>115</v>
      </c>
      <c r="C521" t="s">
        <v>32</v>
      </c>
      <c r="D521" s="1">
        <v>0.95833333333333337</v>
      </c>
      <c r="E521" s="1">
        <v>0.375</v>
      </c>
      <c r="F521">
        <v>26.88</v>
      </c>
      <c r="G521">
        <v>0</v>
      </c>
      <c r="H521">
        <v>10</v>
      </c>
      <c r="I521" t="s">
        <v>123</v>
      </c>
      <c r="J521" t="s">
        <v>15</v>
      </c>
      <c r="K521" t="s">
        <v>97</v>
      </c>
      <c r="L521" t="s">
        <v>17</v>
      </c>
      <c r="M521" s="44" t="str">
        <f t="shared" si="8"/>
        <v>10 hr |</v>
      </c>
    </row>
    <row r="522" spans="1:13" x14ac:dyDescent="0.25">
      <c r="A522" t="s">
        <v>184</v>
      </c>
      <c r="B522" t="s">
        <v>159</v>
      </c>
      <c r="C522" t="s">
        <v>14</v>
      </c>
      <c r="D522" s="1">
        <v>0.95833333333333337</v>
      </c>
      <c r="E522" s="1">
        <v>0.29166666666666669</v>
      </c>
      <c r="F522">
        <v>30.5</v>
      </c>
      <c r="G522">
        <v>0</v>
      </c>
      <c r="H522">
        <v>8</v>
      </c>
      <c r="J522" t="s">
        <v>15</v>
      </c>
      <c r="K522" t="s">
        <v>20</v>
      </c>
      <c r="L522" t="s">
        <v>47</v>
      </c>
      <c r="M522" s="44" t="str">
        <f t="shared" si="8"/>
        <v>8 hr |</v>
      </c>
    </row>
    <row r="523" spans="1:13" x14ac:dyDescent="0.25">
      <c r="A523" t="s">
        <v>184</v>
      </c>
      <c r="B523" t="s">
        <v>83</v>
      </c>
      <c r="C523" t="s">
        <v>46</v>
      </c>
      <c r="D523" s="1">
        <v>0.98958333333333337</v>
      </c>
      <c r="E523" s="1">
        <v>0.375</v>
      </c>
      <c r="F523">
        <v>26.88</v>
      </c>
      <c r="G523">
        <v>0</v>
      </c>
      <c r="H523">
        <v>9.25</v>
      </c>
      <c r="I523">
        <v>318</v>
      </c>
      <c r="J523" t="s">
        <v>15</v>
      </c>
      <c r="K523" t="s">
        <v>192</v>
      </c>
      <c r="L523" t="s">
        <v>17</v>
      </c>
      <c r="M523" s="44" t="str">
        <f t="shared" si="8"/>
        <v>9.25 hr |</v>
      </c>
    </row>
    <row r="524" spans="1:13" x14ac:dyDescent="0.25">
      <c r="A524" t="s">
        <v>193</v>
      </c>
      <c r="B524" t="s">
        <v>13</v>
      </c>
      <c r="C524" t="s">
        <v>14</v>
      </c>
      <c r="D524" s="1">
        <v>0.25</v>
      </c>
      <c r="E524" s="1">
        <v>0.41666666666666669</v>
      </c>
      <c r="F524">
        <v>30.5</v>
      </c>
      <c r="G524">
        <v>0</v>
      </c>
      <c r="H524">
        <v>4</v>
      </c>
      <c r="J524" t="s">
        <v>15</v>
      </c>
      <c r="K524" t="s">
        <v>16</v>
      </c>
      <c r="L524" t="s">
        <v>47</v>
      </c>
      <c r="M524" s="44" t="str">
        <f t="shared" si="8"/>
        <v>4 hr |</v>
      </c>
    </row>
    <row r="525" spans="1:13" x14ac:dyDescent="0.25">
      <c r="A525" t="s">
        <v>193</v>
      </c>
      <c r="B525" t="s">
        <v>45</v>
      </c>
      <c r="C525" t="s">
        <v>46</v>
      </c>
      <c r="D525" s="1">
        <v>0.25</v>
      </c>
      <c r="E525" s="1">
        <v>0.41666666666666669</v>
      </c>
      <c r="F525">
        <v>27.22</v>
      </c>
      <c r="G525">
        <v>108.88</v>
      </c>
      <c r="H525">
        <v>4</v>
      </c>
      <c r="I525">
        <v>504</v>
      </c>
      <c r="J525" t="s">
        <v>15</v>
      </c>
      <c r="K525" t="s">
        <v>68</v>
      </c>
      <c r="L525" t="s">
        <v>47</v>
      </c>
      <c r="M525" s="44" t="str">
        <f t="shared" si="8"/>
        <v>4 hr |</v>
      </c>
    </row>
    <row r="526" spans="1:13" x14ac:dyDescent="0.25">
      <c r="A526" t="s">
        <v>193</v>
      </c>
      <c r="B526" t="s">
        <v>77</v>
      </c>
      <c r="C526" t="s">
        <v>78</v>
      </c>
      <c r="D526" s="1">
        <v>0.29166666666666669</v>
      </c>
      <c r="E526" s="1">
        <v>0.625</v>
      </c>
      <c r="F526">
        <v>35</v>
      </c>
      <c r="G526">
        <v>0</v>
      </c>
      <c r="H526">
        <v>8</v>
      </c>
      <c r="K526" t="s">
        <v>20</v>
      </c>
      <c r="L526" t="s">
        <v>57</v>
      </c>
      <c r="M526" s="44" t="str">
        <f t="shared" si="8"/>
        <v>8 hr |</v>
      </c>
    </row>
    <row r="527" spans="1:13" x14ac:dyDescent="0.25">
      <c r="A527" t="s">
        <v>193</v>
      </c>
      <c r="B527" t="s">
        <v>126</v>
      </c>
      <c r="C527" t="s">
        <v>181</v>
      </c>
      <c r="D527" s="1">
        <v>0.29166666666666669</v>
      </c>
      <c r="E527" s="1">
        <v>0.625</v>
      </c>
      <c r="F527">
        <v>30.5</v>
      </c>
      <c r="G527">
        <v>0</v>
      </c>
      <c r="H527">
        <v>8</v>
      </c>
      <c r="K527" t="s">
        <v>20</v>
      </c>
      <c r="L527" t="s">
        <v>23</v>
      </c>
      <c r="M527" s="44" t="str">
        <f t="shared" si="8"/>
        <v>8 hr |</v>
      </c>
    </row>
    <row r="528" spans="1:13" x14ac:dyDescent="0.25">
      <c r="A528" t="s">
        <v>193</v>
      </c>
      <c r="B528" t="s">
        <v>40</v>
      </c>
      <c r="C528" t="s">
        <v>19</v>
      </c>
      <c r="D528" s="1">
        <v>0.29166666666666669</v>
      </c>
      <c r="E528" s="1">
        <v>0.45833333333333331</v>
      </c>
      <c r="F528">
        <v>29</v>
      </c>
      <c r="G528">
        <v>0</v>
      </c>
      <c r="H528">
        <v>4</v>
      </c>
      <c r="K528" t="s">
        <v>16</v>
      </c>
      <c r="L528" t="s">
        <v>30</v>
      </c>
      <c r="M528" s="44" t="str">
        <f t="shared" si="8"/>
        <v>4 hr |</v>
      </c>
    </row>
    <row r="529" spans="1:13" x14ac:dyDescent="0.25">
      <c r="A529" t="s">
        <v>193</v>
      </c>
      <c r="B529" t="s">
        <v>114</v>
      </c>
      <c r="C529" t="s">
        <v>127</v>
      </c>
      <c r="D529" s="1">
        <v>0.29166666666666669</v>
      </c>
      <c r="E529" s="1">
        <v>0.45833333333333331</v>
      </c>
      <c r="F529">
        <v>31.42</v>
      </c>
      <c r="G529">
        <v>0</v>
      </c>
      <c r="H529">
        <v>4</v>
      </c>
      <c r="K529" t="s">
        <v>16</v>
      </c>
      <c r="L529" t="s">
        <v>17</v>
      </c>
      <c r="M529" s="44" t="str">
        <f t="shared" si="8"/>
        <v>4 hr |</v>
      </c>
    </row>
    <row r="530" spans="1:13" x14ac:dyDescent="0.25">
      <c r="A530" t="s">
        <v>193</v>
      </c>
      <c r="B530" t="s">
        <v>54</v>
      </c>
      <c r="C530" t="s">
        <v>55</v>
      </c>
      <c r="D530" s="1">
        <v>0.29166666666666669</v>
      </c>
      <c r="E530" s="1">
        <v>0.60416666666666663</v>
      </c>
      <c r="F530">
        <v>26.88</v>
      </c>
      <c r="G530">
        <v>0</v>
      </c>
      <c r="H530">
        <v>7.5</v>
      </c>
      <c r="K530" t="s">
        <v>39</v>
      </c>
      <c r="L530" t="s">
        <v>17</v>
      </c>
      <c r="M530" s="44" t="str">
        <f t="shared" si="8"/>
        <v>7.5 hr |</v>
      </c>
    </row>
    <row r="531" spans="1:13" x14ac:dyDescent="0.25">
      <c r="A531" t="s">
        <v>193</v>
      </c>
      <c r="B531" t="s">
        <v>25</v>
      </c>
      <c r="C531" t="s">
        <v>26</v>
      </c>
      <c r="D531" s="1">
        <v>0.33333333333333331</v>
      </c>
      <c r="E531" s="1">
        <v>0.66666666666666663</v>
      </c>
      <c r="F531">
        <v>26.88</v>
      </c>
      <c r="G531">
        <v>0</v>
      </c>
      <c r="H531">
        <v>8</v>
      </c>
      <c r="J531" t="s">
        <v>15</v>
      </c>
      <c r="K531" t="s">
        <v>20</v>
      </c>
      <c r="L531" t="s">
        <v>47</v>
      </c>
      <c r="M531" s="44" t="str">
        <f t="shared" si="8"/>
        <v>8 hr |</v>
      </c>
    </row>
    <row r="532" spans="1:13" x14ac:dyDescent="0.25">
      <c r="A532" t="s">
        <v>193</v>
      </c>
      <c r="B532" t="s">
        <v>38</v>
      </c>
      <c r="C532" t="s">
        <v>35</v>
      </c>
      <c r="D532" s="1">
        <v>0.35416666666666669</v>
      </c>
      <c r="E532" s="1">
        <v>0.625</v>
      </c>
      <c r="F532">
        <v>26.88</v>
      </c>
      <c r="G532">
        <v>0</v>
      </c>
      <c r="H532">
        <v>6.5</v>
      </c>
      <c r="J532" t="s">
        <v>15</v>
      </c>
      <c r="K532" t="s">
        <v>104</v>
      </c>
      <c r="L532" t="s">
        <v>17</v>
      </c>
      <c r="M532" s="44" t="str">
        <f t="shared" si="8"/>
        <v>6.5 hr |</v>
      </c>
    </row>
    <row r="533" spans="1:13" x14ac:dyDescent="0.25">
      <c r="A533" t="s">
        <v>193</v>
      </c>
      <c r="B533" t="s">
        <v>18</v>
      </c>
      <c r="C533" t="s">
        <v>35</v>
      </c>
      <c r="D533" s="1">
        <v>0.35416666666666669</v>
      </c>
      <c r="E533" s="1">
        <v>0.625</v>
      </c>
      <c r="F533">
        <v>26.88</v>
      </c>
      <c r="G533">
        <v>0</v>
      </c>
      <c r="H533">
        <v>6.5</v>
      </c>
      <c r="J533" t="s">
        <v>15</v>
      </c>
      <c r="K533" t="s">
        <v>104</v>
      </c>
      <c r="L533" t="s">
        <v>17</v>
      </c>
      <c r="M533" s="44" t="str">
        <f t="shared" si="8"/>
        <v>6.5 hr |</v>
      </c>
    </row>
    <row r="534" spans="1:13" x14ac:dyDescent="0.25">
      <c r="A534" t="s">
        <v>193</v>
      </c>
      <c r="B534" t="s">
        <v>34</v>
      </c>
      <c r="C534" t="s">
        <v>35</v>
      </c>
      <c r="D534" s="1">
        <v>0.35416666666666669</v>
      </c>
      <c r="E534" s="1">
        <v>0.625</v>
      </c>
      <c r="F534">
        <v>26.88</v>
      </c>
      <c r="G534">
        <v>174.72</v>
      </c>
      <c r="H534">
        <v>6.5</v>
      </c>
      <c r="J534" t="s">
        <v>15</v>
      </c>
      <c r="K534" t="s">
        <v>104</v>
      </c>
      <c r="L534" t="s">
        <v>17</v>
      </c>
      <c r="M534" s="44" t="str">
        <f t="shared" si="8"/>
        <v>6.5 hr |</v>
      </c>
    </row>
    <row r="535" spans="1:13" x14ac:dyDescent="0.25">
      <c r="A535" t="s">
        <v>193</v>
      </c>
      <c r="B535" t="s">
        <v>53</v>
      </c>
      <c r="C535" t="s">
        <v>55</v>
      </c>
      <c r="D535" s="1">
        <v>0.375</v>
      </c>
      <c r="E535" s="1">
        <v>0.66666666666666663</v>
      </c>
      <c r="F535">
        <v>26.88</v>
      </c>
      <c r="G535">
        <v>0</v>
      </c>
      <c r="H535">
        <v>7</v>
      </c>
      <c r="K535" t="s">
        <v>56</v>
      </c>
      <c r="L535" t="s">
        <v>57</v>
      </c>
      <c r="M535" s="44" t="str">
        <f t="shared" si="8"/>
        <v>7 hr |</v>
      </c>
    </row>
    <row r="536" spans="1:13" x14ac:dyDescent="0.25">
      <c r="A536" t="s">
        <v>193</v>
      </c>
      <c r="B536" t="s">
        <v>108</v>
      </c>
      <c r="C536" t="s">
        <v>46</v>
      </c>
      <c r="D536" s="1">
        <v>0.375</v>
      </c>
      <c r="E536" s="1">
        <v>0.70833333333333337</v>
      </c>
      <c r="F536">
        <v>26.88</v>
      </c>
      <c r="G536">
        <v>188.16</v>
      </c>
      <c r="H536">
        <v>8</v>
      </c>
      <c r="I536" t="s">
        <v>194</v>
      </c>
      <c r="J536" t="s">
        <v>15</v>
      </c>
      <c r="K536" t="s">
        <v>20</v>
      </c>
      <c r="L536" t="s">
        <v>47</v>
      </c>
      <c r="M536" s="44" t="str">
        <f t="shared" si="8"/>
        <v>8 hr |</v>
      </c>
    </row>
    <row r="537" spans="1:13" x14ac:dyDescent="0.25">
      <c r="A537" t="s">
        <v>193</v>
      </c>
      <c r="B537" t="s">
        <v>72</v>
      </c>
      <c r="C537" t="s">
        <v>46</v>
      </c>
      <c r="D537" s="1">
        <v>0.375</v>
      </c>
      <c r="E537" s="1">
        <v>0.625</v>
      </c>
      <c r="F537">
        <v>27.22</v>
      </c>
      <c r="G537">
        <v>163.32</v>
      </c>
      <c r="H537">
        <v>6</v>
      </c>
      <c r="I537">
        <v>518</v>
      </c>
      <c r="J537" t="s">
        <v>15</v>
      </c>
      <c r="K537" t="s">
        <v>29</v>
      </c>
      <c r="L537" t="s">
        <v>47</v>
      </c>
      <c r="M537" s="44" t="str">
        <f t="shared" si="8"/>
        <v>6 hr |</v>
      </c>
    </row>
    <row r="538" spans="1:13" x14ac:dyDescent="0.25">
      <c r="A538" t="s">
        <v>193</v>
      </c>
      <c r="B538" t="s">
        <v>27</v>
      </c>
      <c r="C538" t="s">
        <v>22</v>
      </c>
      <c r="D538" s="1">
        <v>0.375</v>
      </c>
      <c r="E538" s="1">
        <v>0.70833333333333337</v>
      </c>
      <c r="F538">
        <v>27.22</v>
      </c>
      <c r="G538">
        <v>217.76</v>
      </c>
      <c r="H538">
        <v>8</v>
      </c>
      <c r="K538" t="s">
        <v>52</v>
      </c>
      <c r="L538" t="s">
        <v>23</v>
      </c>
      <c r="M538" s="44" t="str">
        <f t="shared" si="8"/>
        <v>8 hr |</v>
      </c>
    </row>
    <row r="539" spans="1:13" x14ac:dyDescent="0.25">
      <c r="A539" t="s">
        <v>193</v>
      </c>
      <c r="B539" t="s">
        <v>31</v>
      </c>
      <c r="C539" t="s">
        <v>46</v>
      </c>
      <c r="D539" s="1">
        <v>0.375</v>
      </c>
      <c r="E539" s="1">
        <v>0.625</v>
      </c>
      <c r="F539">
        <v>27.22</v>
      </c>
      <c r="G539">
        <v>163.32</v>
      </c>
      <c r="H539">
        <v>6</v>
      </c>
      <c r="I539">
        <v>318</v>
      </c>
      <c r="J539" t="s">
        <v>15</v>
      </c>
      <c r="K539" t="s">
        <v>29</v>
      </c>
      <c r="L539" t="s">
        <v>37</v>
      </c>
      <c r="M539" s="44" t="str">
        <f t="shared" si="8"/>
        <v>6 hr |</v>
      </c>
    </row>
    <row r="540" spans="1:13" x14ac:dyDescent="0.25">
      <c r="A540" t="s">
        <v>193</v>
      </c>
      <c r="B540" t="s">
        <v>107</v>
      </c>
      <c r="C540" t="s">
        <v>44</v>
      </c>
      <c r="D540" s="1">
        <v>0.375</v>
      </c>
      <c r="E540" s="1">
        <v>0.70833333333333337</v>
      </c>
      <c r="F540">
        <v>26.88</v>
      </c>
      <c r="G540">
        <v>0</v>
      </c>
      <c r="H540">
        <v>8</v>
      </c>
      <c r="J540" t="s">
        <v>15</v>
      </c>
      <c r="K540" t="s">
        <v>20</v>
      </c>
      <c r="L540" t="s">
        <v>17</v>
      </c>
      <c r="M540" s="44" t="str">
        <f t="shared" si="8"/>
        <v>8 hr |</v>
      </c>
    </row>
    <row r="541" spans="1:13" x14ac:dyDescent="0.25">
      <c r="A541" t="s">
        <v>193</v>
      </c>
      <c r="B541" t="s">
        <v>83</v>
      </c>
      <c r="C541" t="s">
        <v>46</v>
      </c>
      <c r="D541" s="1">
        <v>0.375</v>
      </c>
      <c r="E541" s="1">
        <v>0.70833333333333337</v>
      </c>
      <c r="F541">
        <v>27.22</v>
      </c>
      <c r="G541">
        <v>0</v>
      </c>
      <c r="H541">
        <v>8</v>
      </c>
      <c r="I541">
        <v>401</v>
      </c>
      <c r="J541" t="s">
        <v>15</v>
      </c>
      <c r="K541" t="s">
        <v>52</v>
      </c>
      <c r="L541" t="s">
        <v>47</v>
      </c>
      <c r="M541" s="44" t="str">
        <f t="shared" si="8"/>
        <v>8 hr |</v>
      </c>
    </row>
    <row r="542" spans="1:13" x14ac:dyDescent="0.25">
      <c r="A542" t="s">
        <v>193</v>
      </c>
      <c r="B542" t="s">
        <v>83</v>
      </c>
      <c r="C542" t="s">
        <v>46</v>
      </c>
      <c r="D542" s="1">
        <v>0.39583333333333331</v>
      </c>
      <c r="E542" s="1">
        <v>0.625</v>
      </c>
      <c r="F542">
        <v>27.22</v>
      </c>
      <c r="G542">
        <v>149.71</v>
      </c>
      <c r="H542">
        <v>5.5</v>
      </c>
      <c r="I542">
        <v>411</v>
      </c>
      <c r="J542" t="s">
        <v>15</v>
      </c>
      <c r="K542" t="s">
        <v>191</v>
      </c>
      <c r="L542" t="s">
        <v>47</v>
      </c>
      <c r="M542" s="44" t="str">
        <f t="shared" si="8"/>
        <v>5.5 hr |</v>
      </c>
    </row>
    <row r="543" spans="1:13" x14ac:dyDescent="0.25">
      <c r="A543" t="s">
        <v>193</v>
      </c>
      <c r="B543" t="s">
        <v>67</v>
      </c>
      <c r="C543" t="s">
        <v>22</v>
      </c>
      <c r="D543" s="1">
        <v>0.41666666666666669</v>
      </c>
      <c r="E543" s="1">
        <v>0.58333333333333337</v>
      </c>
      <c r="F543">
        <v>27.22</v>
      </c>
      <c r="G543">
        <v>108.88</v>
      </c>
      <c r="H543">
        <v>4</v>
      </c>
      <c r="K543" t="s">
        <v>68</v>
      </c>
      <c r="L543" t="s">
        <v>23</v>
      </c>
      <c r="M543" s="44" t="str">
        <f t="shared" si="8"/>
        <v>4 hr |</v>
      </c>
    </row>
    <row r="544" spans="1:13" x14ac:dyDescent="0.25">
      <c r="A544" t="s">
        <v>193</v>
      </c>
      <c r="B544" t="s">
        <v>45</v>
      </c>
      <c r="C544" t="s">
        <v>73</v>
      </c>
      <c r="D544" s="1">
        <v>0.45833333333333331</v>
      </c>
      <c r="E544" s="1">
        <v>0.66666666666666663</v>
      </c>
      <c r="F544">
        <v>22</v>
      </c>
      <c r="G544">
        <v>110</v>
      </c>
      <c r="H544">
        <v>5</v>
      </c>
      <c r="K544" t="s">
        <v>158</v>
      </c>
      <c r="L544" t="s">
        <v>57</v>
      </c>
      <c r="M544" s="44" t="str">
        <f t="shared" si="8"/>
        <v>5 hr |</v>
      </c>
    </row>
    <row r="545" spans="1:13" x14ac:dyDescent="0.25">
      <c r="A545" t="s">
        <v>193</v>
      </c>
      <c r="B545" t="s">
        <v>145</v>
      </c>
      <c r="C545" t="s">
        <v>78</v>
      </c>
      <c r="D545" s="1">
        <v>0.5</v>
      </c>
      <c r="E545" s="1">
        <v>0.83333333333333337</v>
      </c>
      <c r="F545">
        <v>35</v>
      </c>
      <c r="G545">
        <v>280</v>
      </c>
      <c r="H545">
        <v>8</v>
      </c>
      <c r="K545" t="s">
        <v>20</v>
      </c>
      <c r="L545" t="s">
        <v>57</v>
      </c>
      <c r="M545" s="44" t="str">
        <f t="shared" si="8"/>
        <v>8 hr |</v>
      </c>
    </row>
    <row r="546" spans="1:13" x14ac:dyDescent="0.25">
      <c r="A546" t="s">
        <v>193</v>
      </c>
      <c r="B546" t="s">
        <v>58</v>
      </c>
      <c r="C546" t="s">
        <v>75</v>
      </c>
      <c r="D546" s="1">
        <v>0.58333333333333337</v>
      </c>
      <c r="E546" s="1">
        <v>0.79166666666666663</v>
      </c>
      <c r="F546">
        <v>26.88</v>
      </c>
      <c r="G546">
        <v>134.4</v>
      </c>
      <c r="H546">
        <v>5</v>
      </c>
      <c r="K546" t="s">
        <v>87</v>
      </c>
      <c r="L546" t="s">
        <v>30</v>
      </c>
      <c r="M546" s="44" t="str">
        <f t="shared" si="8"/>
        <v>5 hr |</v>
      </c>
    </row>
    <row r="547" spans="1:13" x14ac:dyDescent="0.25">
      <c r="A547" t="s">
        <v>193</v>
      </c>
      <c r="B547" t="s">
        <v>85</v>
      </c>
      <c r="C547" t="s">
        <v>28</v>
      </c>
      <c r="D547" s="1">
        <v>0.58333333333333337</v>
      </c>
      <c r="E547" s="1">
        <v>0.91666666666666663</v>
      </c>
      <c r="F547">
        <v>27.22</v>
      </c>
      <c r="G547">
        <v>217.76</v>
      </c>
      <c r="H547">
        <v>8</v>
      </c>
      <c r="K547" t="s">
        <v>52</v>
      </c>
      <c r="L547" t="s">
        <v>47</v>
      </c>
      <c r="M547" s="44" t="str">
        <f t="shared" si="8"/>
        <v>8 hr |</v>
      </c>
    </row>
    <row r="548" spans="1:13" x14ac:dyDescent="0.25">
      <c r="A548" t="s">
        <v>193</v>
      </c>
      <c r="B548" t="s">
        <v>131</v>
      </c>
      <c r="C548" t="s">
        <v>14</v>
      </c>
      <c r="D548" s="1">
        <v>0.625</v>
      </c>
      <c r="E548" s="1">
        <v>0.95833333333333337</v>
      </c>
      <c r="F548">
        <v>30.5</v>
      </c>
      <c r="G548">
        <v>0</v>
      </c>
      <c r="H548">
        <v>8</v>
      </c>
      <c r="J548" t="s">
        <v>15</v>
      </c>
      <c r="K548" t="s">
        <v>20</v>
      </c>
      <c r="L548" t="s">
        <v>47</v>
      </c>
      <c r="M548" s="44" t="str">
        <f t="shared" si="8"/>
        <v>8 hr |</v>
      </c>
    </row>
    <row r="549" spans="1:13" x14ac:dyDescent="0.25">
      <c r="A549" t="s">
        <v>193</v>
      </c>
      <c r="B549" t="s">
        <v>102</v>
      </c>
      <c r="C549" t="s">
        <v>14</v>
      </c>
      <c r="D549" s="1">
        <v>0.625</v>
      </c>
      <c r="E549" s="1">
        <v>0.95833333333333337</v>
      </c>
      <c r="F549">
        <v>30.5</v>
      </c>
      <c r="G549">
        <v>0</v>
      </c>
      <c r="H549">
        <v>8</v>
      </c>
      <c r="J549" t="s">
        <v>15</v>
      </c>
      <c r="K549" t="s">
        <v>20</v>
      </c>
      <c r="L549" t="s">
        <v>47</v>
      </c>
      <c r="M549" s="44" t="str">
        <f t="shared" si="8"/>
        <v>8 hr |</v>
      </c>
    </row>
    <row r="550" spans="1:13" x14ac:dyDescent="0.25">
      <c r="A550" t="s">
        <v>193</v>
      </c>
      <c r="B550" t="s">
        <v>67</v>
      </c>
      <c r="C550" t="s">
        <v>22</v>
      </c>
      <c r="D550" s="1">
        <v>0.625</v>
      </c>
      <c r="E550" s="1">
        <v>0.95833333333333337</v>
      </c>
      <c r="F550">
        <v>27.22</v>
      </c>
      <c r="G550">
        <v>217.76</v>
      </c>
      <c r="H550">
        <v>8</v>
      </c>
      <c r="K550" t="s">
        <v>52</v>
      </c>
      <c r="L550" t="s">
        <v>23</v>
      </c>
      <c r="M550" s="44" t="str">
        <f t="shared" si="8"/>
        <v>8 hr |</v>
      </c>
    </row>
    <row r="551" spans="1:13" x14ac:dyDescent="0.25">
      <c r="A551" t="s">
        <v>193</v>
      </c>
      <c r="B551" t="s">
        <v>24</v>
      </c>
      <c r="C551" t="s">
        <v>22</v>
      </c>
      <c r="D551" s="1">
        <v>0.625</v>
      </c>
      <c r="E551" s="1">
        <v>0.95833333333333337</v>
      </c>
      <c r="F551">
        <v>26.88</v>
      </c>
      <c r="G551">
        <v>0</v>
      </c>
      <c r="H551">
        <v>8</v>
      </c>
      <c r="K551" t="s">
        <v>20</v>
      </c>
      <c r="L551" t="s">
        <v>23</v>
      </c>
      <c r="M551" s="44" t="str">
        <f t="shared" si="8"/>
        <v>8 hr |</v>
      </c>
    </row>
    <row r="552" spans="1:13" x14ac:dyDescent="0.25">
      <c r="A552" t="s">
        <v>193</v>
      </c>
      <c r="B552" t="s">
        <v>105</v>
      </c>
      <c r="C552" t="s">
        <v>46</v>
      </c>
      <c r="D552" s="1">
        <v>0.625</v>
      </c>
      <c r="E552" s="1">
        <v>0.95833333333333337</v>
      </c>
      <c r="F552">
        <v>26.88</v>
      </c>
      <c r="G552">
        <v>0</v>
      </c>
      <c r="H552">
        <v>8</v>
      </c>
      <c r="I552">
        <v>617</v>
      </c>
      <c r="J552" t="s">
        <v>15</v>
      </c>
      <c r="K552" t="s">
        <v>106</v>
      </c>
      <c r="L552" t="s">
        <v>47</v>
      </c>
      <c r="M552" s="44" t="str">
        <f t="shared" si="8"/>
        <v>0 hr |</v>
      </c>
    </row>
    <row r="553" spans="1:13" x14ac:dyDescent="0.25">
      <c r="A553" t="s">
        <v>193</v>
      </c>
      <c r="B553" t="s">
        <v>84</v>
      </c>
      <c r="C553" t="s">
        <v>49</v>
      </c>
      <c r="D553" s="1">
        <v>0.66666666666666663</v>
      </c>
      <c r="E553" s="1">
        <v>0.95833333333333337</v>
      </c>
      <c r="F553">
        <v>26.88</v>
      </c>
      <c r="G553">
        <v>161.28</v>
      </c>
      <c r="H553">
        <v>7</v>
      </c>
      <c r="I553" t="s">
        <v>50</v>
      </c>
      <c r="K553" t="s">
        <v>56</v>
      </c>
      <c r="L553" t="s">
        <v>47</v>
      </c>
      <c r="M553" s="44" t="str">
        <f t="shared" si="8"/>
        <v>7 hr |</v>
      </c>
    </row>
    <row r="554" spans="1:13" x14ac:dyDescent="0.25">
      <c r="A554" t="s">
        <v>193</v>
      </c>
      <c r="B554" t="s">
        <v>62</v>
      </c>
      <c r="C554" t="s">
        <v>49</v>
      </c>
      <c r="D554" s="1">
        <v>0.70833333333333337</v>
      </c>
      <c r="E554" s="1">
        <v>0.95833333333333337</v>
      </c>
      <c r="F554">
        <v>27.22</v>
      </c>
      <c r="G554">
        <v>163.32</v>
      </c>
      <c r="H554">
        <v>6</v>
      </c>
      <c r="I554" t="s">
        <v>50</v>
      </c>
      <c r="K554" t="s">
        <v>29</v>
      </c>
      <c r="L554" t="s">
        <v>47</v>
      </c>
      <c r="M554" s="44" t="str">
        <f t="shared" si="8"/>
        <v>6 hr |</v>
      </c>
    </row>
    <row r="555" spans="1:13" x14ac:dyDescent="0.25">
      <c r="A555" t="s">
        <v>193</v>
      </c>
      <c r="B555" t="s">
        <v>98</v>
      </c>
      <c r="C555" t="s">
        <v>46</v>
      </c>
      <c r="D555" s="1">
        <v>0.70833333333333337</v>
      </c>
      <c r="E555" s="1">
        <v>0.95833333333333337</v>
      </c>
      <c r="F555">
        <v>27.22</v>
      </c>
      <c r="G555">
        <v>163.32</v>
      </c>
      <c r="H555">
        <v>6</v>
      </c>
      <c r="I555">
        <v>411</v>
      </c>
      <c r="J555" t="s">
        <v>15</v>
      </c>
      <c r="K555" t="s">
        <v>29</v>
      </c>
      <c r="L555" t="s">
        <v>57</v>
      </c>
      <c r="M555" s="44" t="str">
        <f t="shared" si="8"/>
        <v>6 hr |</v>
      </c>
    </row>
    <row r="556" spans="1:13" x14ac:dyDescent="0.25">
      <c r="A556" t="s">
        <v>193</v>
      </c>
      <c r="B556" t="s">
        <v>64</v>
      </c>
      <c r="C556" t="s">
        <v>195</v>
      </c>
      <c r="D556" s="1">
        <v>0.91666666666666663</v>
      </c>
      <c r="E556" s="1">
        <v>0.375</v>
      </c>
      <c r="F556">
        <v>31.17</v>
      </c>
      <c r="G556">
        <v>0</v>
      </c>
      <c r="H556">
        <v>11</v>
      </c>
      <c r="K556" t="s">
        <v>168</v>
      </c>
      <c r="L556" t="s">
        <v>23</v>
      </c>
      <c r="M556" s="44" t="str">
        <f t="shared" si="8"/>
        <v>11 hr |</v>
      </c>
    </row>
    <row r="557" spans="1:13" x14ac:dyDescent="0.25">
      <c r="A557" t="s">
        <v>193</v>
      </c>
      <c r="B557" t="s">
        <v>163</v>
      </c>
      <c r="C557" t="s">
        <v>65</v>
      </c>
      <c r="D557" s="1">
        <v>0.92708333333333337</v>
      </c>
      <c r="E557" s="1">
        <v>0.375</v>
      </c>
      <c r="F557">
        <v>31.17</v>
      </c>
      <c r="G557">
        <v>0</v>
      </c>
      <c r="H557">
        <v>10.75</v>
      </c>
      <c r="K557" t="s">
        <v>121</v>
      </c>
      <c r="L557" t="s">
        <v>30</v>
      </c>
      <c r="M557" s="44" t="str">
        <f t="shared" si="8"/>
        <v>10.75 hr |</v>
      </c>
    </row>
    <row r="558" spans="1:13" x14ac:dyDescent="0.25">
      <c r="A558" t="s">
        <v>193</v>
      </c>
      <c r="B558" t="s">
        <v>163</v>
      </c>
      <c r="C558" t="s">
        <v>196</v>
      </c>
      <c r="D558" s="1">
        <v>0.92708333333333337</v>
      </c>
      <c r="E558" s="1">
        <v>0.375</v>
      </c>
      <c r="F558">
        <v>31.17</v>
      </c>
      <c r="G558">
        <v>0</v>
      </c>
      <c r="H558">
        <v>10.75</v>
      </c>
      <c r="K558" t="s">
        <v>168</v>
      </c>
      <c r="L558" t="s">
        <v>23</v>
      </c>
      <c r="M558" s="44" t="str">
        <f t="shared" si="8"/>
        <v>11 hr |</v>
      </c>
    </row>
    <row r="559" spans="1:13" x14ac:dyDescent="0.25">
      <c r="A559" t="s">
        <v>193</v>
      </c>
      <c r="B559" t="s">
        <v>113</v>
      </c>
      <c r="C559" t="s">
        <v>28</v>
      </c>
      <c r="D559" s="1">
        <v>0.95833333333333337</v>
      </c>
      <c r="E559" s="1">
        <v>0.375</v>
      </c>
      <c r="F559">
        <v>27.22</v>
      </c>
      <c r="G559">
        <v>272.2</v>
      </c>
      <c r="H559">
        <v>10</v>
      </c>
      <c r="K559" t="s">
        <v>94</v>
      </c>
      <c r="L559" t="s">
        <v>47</v>
      </c>
      <c r="M559" s="44" t="str">
        <f t="shared" si="8"/>
        <v>10 hr |</v>
      </c>
    </row>
    <row r="560" spans="1:13" x14ac:dyDescent="0.25">
      <c r="A560" t="s">
        <v>193</v>
      </c>
      <c r="B560" t="s">
        <v>141</v>
      </c>
      <c r="C560" t="s">
        <v>32</v>
      </c>
      <c r="D560" s="1">
        <v>0.95833333333333337</v>
      </c>
      <c r="E560" s="1">
        <v>0.375</v>
      </c>
      <c r="F560">
        <v>163.1</v>
      </c>
      <c r="G560">
        <v>81.66</v>
      </c>
      <c r="H560">
        <v>10</v>
      </c>
      <c r="I560" t="s">
        <v>142</v>
      </c>
      <c r="J560" t="s">
        <v>88</v>
      </c>
      <c r="K560" t="s">
        <v>140</v>
      </c>
      <c r="L560" t="s">
        <v>17</v>
      </c>
      <c r="M560" s="44" t="str">
        <f t="shared" si="8"/>
        <v>shift | 02 - HOURLY-MEDS: 3 hr |</v>
      </c>
    </row>
    <row r="561" spans="1:13" x14ac:dyDescent="0.25">
      <c r="A561" t="s">
        <v>193</v>
      </c>
      <c r="B561" t="s">
        <v>61</v>
      </c>
      <c r="C561" t="s">
        <v>32</v>
      </c>
      <c r="D561" s="1">
        <v>0.95833333333333337</v>
      </c>
      <c r="E561" s="1">
        <v>0.29166666666666669</v>
      </c>
      <c r="F561">
        <v>27.22</v>
      </c>
      <c r="G561">
        <v>217.76</v>
      </c>
      <c r="H561">
        <v>8</v>
      </c>
      <c r="I561">
        <v>214</v>
      </c>
      <c r="J561" t="s">
        <v>15</v>
      </c>
      <c r="K561" t="s">
        <v>52</v>
      </c>
      <c r="L561" t="s">
        <v>17</v>
      </c>
      <c r="M561" s="44" t="str">
        <f t="shared" si="8"/>
        <v>8 hr |</v>
      </c>
    </row>
    <row r="562" spans="1:13" x14ac:dyDescent="0.25">
      <c r="A562" t="s">
        <v>193</v>
      </c>
      <c r="B562" t="s">
        <v>116</v>
      </c>
      <c r="C562" t="s">
        <v>49</v>
      </c>
      <c r="D562" s="1">
        <v>0.95833333333333337</v>
      </c>
      <c r="E562" s="1">
        <v>0.375</v>
      </c>
      <c r="F562">
        <v>26.88</v>
      </c>
      <c r="G562">
        <v>0</v>
      </c>
      <c r="H562">
        <v>10</v>
      </c>
      <c r="I562" t="s">
        <v>63</v>
      </c>
      <c r="K562" t="s">
        <v>97</v>
      </c>
      <c r="L562" t="s">
        <v>17</v>
      </c>
      <c r="M562" s="44" t="str">
        <f t="shared" si="8"/>
        <v>10 hr |</v>
      </c>
    </row>
    <row r="563" spans="1:13" x14ac:dyDescent="0.25">
      <c r="A563" t="s">
        <v>193</v>
      </c>
      <c r="B563" t="s">
        <v>145</v>
      </c>
      <c r="C563" t="s">
        <v>78</v>
      </c>
      <c r="D563" s="1">
        <v>0.95833333333333337</v>
      </c>
      <c r="E563" s="1">
        <v>0.29166666666666669</v>
      </c>
      <c r="F563">
        <v>35</v>
      </c>
      <c r="G563">
        <v>280</v>
      </c>
      <c r="H563">
        <v>8</v>
      </c>
      <c r="K563" t="s">
        <v>20</v>
      </c>
      <c r="L563" t="s">
        <v>30</v>
      </c>
      <c r="M563" s="44" t="str">
        <f t="shared" si="8"/>
        <v>8 hr |</v>
      </c>
    </row>
    <row r="564" spans="1:13" x14ac:dyDescent="0.25">
      <c r="A564" t="s">
        <v>193</v>
      </c>
      <c r="B564" t="s">
        <v>62</v>
      </c>
      <c r="C564" t="s">
        <v>44</v>
      </c>
      <c r="D564" s="1">
        <v>0.98958333333333337</v>
      </c>
      <c r="E564" s="1">
        <v>0.375</v>
      </c>
      <c r="F564">
        <v>27.22</v>
      </c>
      <c r="G564">
        <v>244.76</v>
      </c>
      <c r="H564">
        <v>9.25</v>
      </c>
      <c r="J564" t="s">
        <v>88</v>
      </c>
      <c r="K564" t="s">
        <v>197</v>
      </c>
      <c r="L564" t="s">
        <v>30</v>
      </c>
      <c r="M564" s="44" t="str">
        <f t="shared" si="8"/>
        <v>2.25 hr | 02 - ONS: shift |</v>
      </c>
    </row>
    <row r="565" spans="1:13" x14ac:dyDescent="0.25">
      <c r="A565" t="s">
        <v>198</v>
      </c>
      <c r="B565" t="s">
        <v>101</v>
      </c>
      <c r="C565" t="s">
        <v>78</v>
      </c>
      <c r="D565" s="1">
        <v>0.29166666666666669</v>
      </c>
      <c r="E565" s="1">
        <v>0.625</v>
      </c>
      <c r="F565">
        <v>35</v>
      </c>
      <c r="G565">
        <v>0</v>
      </c>
      <c r="H565">
        <v>8</v>
      </c>
      <c r="K565" t="s">
        <v>20</v>
      </c>
      <c r="L565" t="s">
        <v>57</v>
      </c>
      <c r="M565" s="44" t="str">
        <f t="shared" si="8"/>
        <v>8 hr |</v>
      </c>
    </row>
    <row r="566" spans="1:13" x14ac:dyDescent="0.25">
      <c r="A566" t="s">
        <v>198</v>
      </c>
      <c r="B566" t="s">
        <v>139</v>
      </c>
      <c r="C566" t="s">
        <v>19</v>
      </c>
      <c r="D566" s="1">
        <v>0.29166666666666669</v>
      </c>
      <c r="E566" s="1">
        <v>0.625</v>
      </c>
      <c r="F566">
        <v>29</v>
      </c>
      <c r="G566">
        <v>116</v>
      </c>
      <c r="H566">
        <v>8</v>
      </c>
      <c r="K566" t="s">
        <v>52</v>
      </c>
      <c r="L566" t="s">
        <v>30</v>
      </c>
      <c r="M566" s="44" t="str">
        <f t="shared" si="8"/>
        <v>8 hr |</v>
      </c>
    </row>
    <row r="567" spans="1:13" x14ac:dyDescent="0.25">
      <c r="A567" t="s">
        <v>198</v>
      </c>
      <c r="B567" t="s">
        <v>102</v>
      </c>
      <c r="C567" t="s">
        <v>14</v>
      </c>
      <c r="D567" s="1">
        <v>0.29166666666666669</v>
      </c>
      <c r="E567" s="1">
        <v>0.625</v>
      </c>
      <c r="F567">
        <v>30.5</v>
      </c>
      <c r="G567">
        <v>0</v>
      </c>
      <c r="H567">
        <v>8</v>
      </c>
      <c r="J567" t="s">
        <v>15</v>
      </c>
      <c r="K567" t="s">
        <v>20</v>
      </c>
      <c r="L567" t="s">
        <v>47</v>
      </c>
      <c r="M567" s="44" t="str">
        <f t="shared" si="8"/>
        <v>8 hr |</v>
      </c>
    </row>
    <row r="568" spans="1:13" x14ac:dyDescent="0.25">
      <c r="A568" t="s">
        <v>198</v>
      </c>
      <c r="B568" t="s">
        <v>189</v>
      </c>
      <c r="C568" t="s">
        <v>187</v>
      </c>
      <c r="D568" s="1">
        <v>0.33333333333333331</v>
      </c>
      <c r="E568" s="1">
        <v>0.625</v>
      </c>
      <c r="F568">
        <v>29.63</v>
      </c>
      <c r="G568">
        <v>0</v>
      </c>
      <c r="H568">
        <v>7</v>
      </c>
      <c r="K568" t="s">
        <v>56</v>
      </c>
      <c r="L568" t="s">
        <v>57</v>
      </c>
      <c r="M568" s="44" t="str">
        <f t="shared" si="8"/>
        <v>7 hr |</v>
      </c>
    </row>
    <row r="569" spans="1:13" x14ac:dyDescent="0.25">
      <c r="A569" t="s">
        <v>198</v>
      </c>
      <c r="B569" t="s">
        <v>40</v>
      </c>
      <c r="C569" t="s">
        <v>41</v>
      </c>
      <c r="D569" s="1">
        <v>0.33333333333333331</v>
      </c>
      <c r="E569" s="1">
        <v>0.625</v>
      </c>
      <c r="F569">
        <v>26.88</v>
      </c>
      <c r="G569">
        <v>0</v>
      </c>
      <c r="H569">
        <v>7</v>
      </c>
      <c r="K569" t="s">
        <v>56</v>
      </c>
      <c r="L569" t="s">
        <v>30</v>
      </c>
      <c r="M569" s="44" t="str">
        <f t="shared" si="8"/>
        <v>7 hr |</v>
      </c>
    </row>
    <row r="570" spans="1:13" x14ac:dyDescent="0.25">
      <c r="A570" t="s">
        <v>198</v>
      </c>
      <c r="B570" t="s">
        <v>156</v>
      </c>
      <c r="C570" t="s">
        <v>35</v>
      </c>
      <c r="D570" s="1">
        <v>0.35416666666666669</v>
      </c>
      <c r="E570" s="1">
        <v>0.625</v>
      </c>
      <c r="F570">
        <v>26.88</v>
      </c>
      <c r="G570">
        <v>0</v>
      </c>
      <c r="H570">
        <v>6.5</v>
      </c>
      <c r="J570" t="s">
        <v>15</v>
      </c>
      <c r="K570" t="s">
        <v>104</v>
      </c>
      <c r="L570" t="s">
        <v>17</v>
      </c>
      <c r="M570" s="44" t="str">
        <f t="shared" si="8"/>
        <v>6.5 hr |</v>
      </c>
    </row>
    <row r="571" spans="1:13" x14ac:dyDescent="0.25">
      <c r="A571" t="s">
        <v>198</v>
      </c>
      <c r="B571" t="s">
        <v>81</v>
      </c>
      <c r="C571" t="s">
        <v>35</v>
      </c>
      <c r="D571" s="1">
        <v>0.35416666666666669</v>
      </c>
      <c r="E571" s="1">
        <v>0.625</v>
      </c>
      <c r="F571">
        <v>26.88</v>
      </c>
      <c r="G571">
        <v>0</v>
      </c>
      <c r="H571">
        <v>6.5</v>
      </c>
      <c r="J571" t="s">
        <v>15</v>
      </c>
      <c r="K571" t="s">
        <v>104</v>
      </c>
      <c r="L571" t="s">
        <v>17</v>
      </c>
      <c r="M571" s="44" t="str">
        <f t="shared" si="8"/>
        <v>6.5 hr |</v>
      </c>
    </row>
    <row r="572" spans="1:13" x14ac:dyDescent="0.25">
      <c r="A572" t="s">
        <v>198</v>
      </c>
      <c r="B572" t="s">
        <v>54</v>
      </c>
      <c r="C572" t="s">
        <v>55</v>
      </c>
      <c r="D572" s="1">
        <v>0.375</v>
      </c>
      <c r="E572" s="1">
        <v>0.66666666666666663</v>
      </c>
      <c r="F572">
        <v>26.88</v>
      </c>
      <c r="G572">
        <v>0</v>
      </c>
      <c r="H572">
        <v>7</v>
      </c>
      <c r="K572" t="s">
        <v>56</v>
      </c>
      <c r="L572" t="s">
        <v>57</v>
      </c>
      <c r="M572" s="44" t="str">
        <f t="shared" si="8"/>
        <v>7 hr |</v>
      </c>
    </row>
    <row r="573" spans="1:13" x14ac:dyDescent="0.25">
      <c r="A573" t="s">
        <v>198</v>
      </c>
      <c r="B573" t="s">
        <v>157</v>
      </c>
      <c r="C573" t="s">
        <v>46</v>
      </c>
      <c r="D573" s="1">
        <v>0.375</v>
      </c>
      <c r="E573" s="1">
        <v>0.625</v>
      </c>
      <c r="F573">
        <v>26.88</v>
      </c>
      <c r="G573">
        <v>0</v>
      </c>
      <c r="H573">
        <v>6</v>
      </c>
      <c r="I573">
        <v>504</v>
      </c>
      <c r="J573" t="s">
        <v>15</v>
      </c>
      <c r="K573" t="s">
        <v>42</v>
      </c>
      <c r="L573" t="s">
        <v>47</v>
      </c>
      <c r="M573" s="44" t="str">
        <f t="shared" si="8"/>
        <v>6 hr |</v>
      </c>
    </row>
    <row r="574" spans="1:13" x14ac:dyDescent="0.25">
      <c r="A574" t="s">
        <v>198</v>
      </c>
      <c r="B574" t="s">
        <v>84</v>
      </c>
      <c r="C574" t="s">
        <v>49</v>
      </c>
      <c r="D574" s="1">
        <v>0.375</v>
      </c>
      <c r="E574" s="1">
        <v>0.70833333333333337</v>
      </c>
      <c r="F574">
        <v>26.88</v>
      </c>
      <c r="G574">
        <v>215.04</v>
      </c>
      <c r="H574">
        <v>8</v>
      </c>
      <c r="I574" t="s">
        <v>199</v>
      </c>
      <c r="K574" t="s">
        <v>20</v>
      </c>
      <c r="L574" t="s">
        <v>30</v>
      </c>
      <c r="M574" s="44" t="str">
        <f t="shared" si="8"/>
        <v>8 hr |</v>
      </c>
    </row>
    <row r="575" spans="1:13" x14ac:dyDescent="0.25">
      <c r="A575" t="s">
        <v>198</v>
      </c>
      <c r="B575" t="s">
        <v>126</v>
      </c>
      <c r="C575" t="s">
        <v>49</v>
      </c>
      <c r="D575" s="1">
        <v>0.375</v>
      </c>
      <c r="E575" s="1">
        <v>0.625</v>
      </c>
      <c r="F575">
        <v>26.88</v>
      </c>
      <c r="G575">
        <v>0</v>
      </c>
      <c r="H575">
        <v>6</v>
      </c>
      <c r="I575" t="s">
        <v>199</v>
      </c>
      <c r="K575" t="s">
        <v>106</v>
      </c>
      <c r="L575" t="s">
        <v>30</v>
      </c>
      <c r="M575" s="44" t="str">
        <f t="shared" si="8"/>
        <v>0 hr |</v>
      </c>
    </row>
    <row r="576" spans="1:13" x14ac:dyDescent="0.25">
      <c r="A576" t="s">
        <v>198</v>
      </c>
      <c r="B576" t="s">
        <v>114</v>
      </c>
      <c r="C576" t="s">
        <v>55</v>
      </c>
      <c r="D576" s="1">
        <v>0.375</v>
      </c>
      <c r="E576" s="1">
        <v>0.70833333333333337</v>
      </c>
      <c r="F576">
        <v>26.88</v>
      </c>
      <c r="G576">
        <v>0</v>
      </c>
      <c r="H576">
        <v>8</v>
      </c>
      <c r="K576" t="s">
        <v>20</v>
      </c>
      <c r="L576" t="s">
        <v>30</v>
      </c>
      <c r="M576" s="44" t="str">
        <f t="shared" si="8"/>
        <v>8 hr |</v>
      </c>
    </row>
    <row r="577" spans="1:13" x14ac:dyDescent="0.25">
      <c r="A577" t="s">
        <v>198</v>
      </c>
      <c r="B577" t="s">
        <v>146</v>
      </c>
      <c r="C577" t="s">
        <v>32</v>
      </c>
      <c r="D577" s="1">
        <v>0.375</v>
      </c>
      <c r="E577" s="1">
        <v>0.70833333333333337</v>
      </c>
      <c r="F577">
        <v>27.22</v>
      </c>
      <c r="G577">
        <v>0</v>
      </c>
      <c r="H577">
        <v>8</v>
      </c>
      <c r="I577">
        <v>218</v>
      </c>
      <c r="J577" t="s">
        <v>15</v>
      </c>
      <c r="K577" t="s">
        <v>52</v>
      </c>
      <c r="L577" t="s">
        <v>30</v>
      </c>
      <c r="M577" s="44" t="str">
        <f t="shared" si="8"/>
        <v>8 hr |</v>
      </c>
    </row>
    <row r="578" spans="1:13" x14ac:dyDescent="0.25">
      <c r="A578" t="s">
        <v>198</v>
      </c>
      <c r="B578" t="s">
        <v>98</v>
      </c>
      <c r="C578" t="s">
        <v>46</v>
      </c>
      <c r="D578" s="1">
        <v>0.375</v>
      </c>
      <c r="E578" s="1">
        <v>0.70833333333333337</v>
      </c>
      <c r="F578">
        <v>27.22</v>
      </c>
      <c r="G578">
        <v>0</v>
      </c>
      <c r="H578">
        <v>8</v>
      </c>
      <c r="I578">
        <v>401</v>
      </c>
      <c r="J578" t="s">
        <v>15</v>
      </c>
      <c r="K578" t="s">
        <v>52</v>
      </c>
      <c r="L578" t="s">
        <v>47</v>
      </c>
      <c r="M578" s="44" t="str">
        <f t="shared" si="8"/>
        <v>8 hr |</v>
      </c>
    </row>
    <row r="579" spans="1:13" x14ac:dyDescent="0.25">
      <c r="A579" t="s">
        <v>198</v>
      </c>
      <c r="B579" t="s">
        <v>105</v>
      </c>
      <c r="C579" t="s">
        <v>181</v>
      </c>
      <c r="D579" s="1">
        <v>0.41666666666666669</v>
      </c>
      <c r="E579" s="1">
        <v>0.58333333333333337</v>
      </c>
      <c r="F579">
        <v>30.5</v>
      </c>
      <c r="G579">
        <v>0</v>
      </c>
      <c r="H579">
        <v>4</v>
      </c>
      <c r="K579" t="s">
        <v>16</v>
      </c>
      <c r="L579" t="s">
        <v>23</v>
      </c>
      <c r="M579" s="44" t="str">
        <f t="shared" ref="M579:M642" si="9">IF($K579="","",TRIM(MID($K579,FIND(":",$K579)+1,LEN($K579))))</f>
        <v>4 hr |</v>
      </c>
    </row>
    <row r="580" spans="1:13" x14ac:dyDescent="0.25">
      <c r="A580" t="s">
        <v>198</v>
      </c>
      <c r="B580" t="s">
        <v>58</v>
      </c>
      <c r="C580" t="s">
        <v>75</v>
      </c>
      <c r="D580" s="1">
        <v>0.5</v>
      </c>
      <c r="E580" s="1">
        <v>0.79166666666666663</v>
      </c>
      <c r="F580">
        <v>26.88</v>
      </c>
      <c r="G580">
        <v>188.16</v>
      </c>
      <c r="H580">
        <v>7</v>
      </c>
      <c r="K580" t="s">
        <v>56</v>
      </c>
      <c r="L580" t="s">
        <v>30</v>
      </c>
      <c r="M580" s="44" t="str">
        <f t="shared" si="9"/>
        <v>7 hr |</v>
      </c>
    </row>
    <row r="581" spans="1:13" x14ac:dyDescent="0.25">
      <c r="A581" t="s">
        <v>198</v>
      </c>
      <c r="B581" t="s">
        <v>112</v>
      </c>
      <c r="C581" t="s">
        <v>73</v>
      </c>
      <c r="D581" s="1">
        <v>0.5</v>
      </c>
      <c r="E581" s="1">
        <v>0.70833333333333337</v>
      </c>
      <c r="F581">
        <v>22</v>
      </c>
      <c r="G581">
        <v>110</v>
      </c>
      <c r="H581">
        <v>5</v>
      </c>
      <c r="K581" t="s">
        <v>158</v>
      </c>
      <c r="L581" t="s">
        <v>57</v>
      </c>
      <c r="M581" s="44" t="str">
        <f t="shared" si="9"/>
        <v>5 hr |</v>
      </c>
    </row>
    <row r="582" spans="1:13" x14ac:dyDescent="0.25">
      <c r="A582" t="s">
        <v>198</v>
      </c>
      <c r="B582" t="s">
        <v>159</v>
      </c>
      <c r="C582" t="s">
        <v>14</v>
      </c>
      <c r="D582" s="1">
        <v>0.58333333333333337</v>
      </c>
      <c r="E582" s="1">
        <v>0.91666666666666663</v>
      </c>
      <c r="F582">
        <v>30.5</v>
      </c>
      <c r="G582">
        <v>0</v>
      </c>
      <c r="H582">
        <v>8</v>
      </c>
      <c r="J582" t="s">
        <v>15</v>
      </c>
      <c r="K582" t="s">
        <v>20</v>
      </c>
      <c r="L582" t="s">
        <v>47</v>
      </c>
      <c r="M582" s="44" t="str">
        <f t="shared" si="9"/>
        <v>8 hr |</v>
      </c>
    </row>
    <row r="583" spans="1:13" x14ac:dyDescent="0.25">
      <c r="A583" t="s">
        <v>198</v>
      </c>
      <c r="B583" t="s">
        <v>79</v>
      </c>
      <c r="C583" t="s">
        <v>75</v>
      </c>
      <c r="D583" s="1">
        <v>0.625</v>
      </c>
      <c r="E583" s="1">
        <v>0.95833333333333337</v>
      </c>
      <c r="F583">
        <v>27.22</v>
      </c>
      <c r="G583">
        <v>217.76</v>
      </c>
      <c r="H583">
        <v>8</v>
      </c>
      <c r="K583" t="s">
        <v>52</v>
      </c>
      <c r="L583" t="s">
        <v>30</v>
      </c>
      <c r="M583" s="44" t="str">
        <f t="shared" si="9"/>
        <v>8 hr |</v>
      </c>
    </row>
    <row r="584" spans="1:13" x14ac:dyDescent="0.25">
      <c r="A584" t="s">
        <v>198</v>
      </c>
      <c r="B584" t="s">
        <v>77</v>
      </c>
      <c r="C584" t="s">
        <v>78</v>
      </c>
      <c r="D584" s="1">
        <v>0.625</v>
      </c>
      <c r="E584" s="1">
        <v>0.95833333333333337</v>
      </c>
      <c r="F584">
        <v>35</v>
      </c>
      <c r="G584">
        <v>0</v>
      </c>
      <c r="H584">
        <v>8</v>
      </c>
      <c r="K584" t="s">
        <v>106</v>
      </c>
      <c r="L584" t="s">
        <v>57</v>
      </c>
      <c r="M584" s="44" t="str">
        <f t="shared" si="9"/>
        <v>0 hr |</v>
      </c>
    </row>
    <row r="585" spans="1:13" x14ac:dyDescent="0.25">
      <c r="A585" t="s">
        <v>198</v>
      </c>
      <c r="B585" t="s">
        <v>85</v>
      </c>
      <c r="C585" t="s">
        <v>28</v>
      </c>
      <c r="D585" s="1">
        <v>0.625</v>
      </c>
      <c r="E585" s="1">
        <v>0.95833333333333337</v>
      </c>
      <c r="F585">
        <v>27.22</v>
      </c>
      <c r="G585">
        <v>217.76</v>
      </c>
      <c r="H585">
        <v>8</v>
      </c>
      <c r="K585" t="s">
        <v>52</v>
      </c>
      <c r="L585" t="s">
        <v>47</v>
      </c>
      <c r="M585" s="44" t="str">
        <f t="shared" si="9"/>
        <v>8 hr |</v>
      </c>
    </row>
    <row r="586" spans="1:13" x14ac:dyDescent="0.25">
      <c r="A586" t="s">
        <v>198</v>
      </c>
      <c r="B586" t="s">
        <v>110</v>
      </c>
      <c r="C586" t="s">
        <v>46</v>
      </c>
      <c r="D586" s="1">
        <v>0.625</v>
      </c>
      <c r="E586" s="1">
        <v>0.95833333333333337</v>
      </c>
      <c r="F586">
        <v>26.88</v>
      </c>
      <c r="G586">
        <v>0</v>
      </c>
      <c r="H586">
        <v>8</v>
      </c>
      <c r="I586">
        <v>318</v>
      </c>
      <c r="J586" t="s">
        <v>15</v>
      </c>
      <c r="K586" t="s">
        <v>20</v>
      </c>
      <c r="L586" t="s">
        <v>47</v>
      </c>
      <c r="M586" s="44" t="str">
        <f t="shared" si="9"/>
        <v>8 hr |</v>
      </c>
    </row>
    <row r="587" spans="1:13" x14ac:dyDescent="0.25">
      <c r="A587" t="s">
        <v>198</v>
      </c>
      <c r="B587" t="s">
        <v>67</v>
      </c>
      <c r="C587" t="s">
        <v>22</v>
      </c>
      <c r="D587" s="1">
        <v>0.625</v>
      </c>
      <c r="E587" s="1">
        <v>0.95833333333333337</v>
      </c>
      <c r="F587">
        <v>26.88</v>
      </c>
      <c r="G587">
        <v>215.04</v>
      </c>
      <c r="H587">
        <v>8</v>
      </c>
      <c r="K587" t="s">
        <v>20</v>
      </c>
      <c r="L587" t="s">
        <v>23</v>
      </c>
      <c r="M587" s="44" t="str">
        <f t="shared" si="9"/>
        <v>8 hr |</v>
      </c>
    </row>
    <row r="588" spans="1:13" x14ac:dyDescent="0.25">
      <c r="A588" t="s">
        <v>198</v>
      </c>
      <c r="B588" t="s">
        <v>111</v>
      </c>
      <c r="C588" t="s">
        <v>32</v>
      </c>
      <c r="D588" s="1">
        <v>0.625</v>
      </c>
      <c r="E588" s="1">
        <v>0.95833333333333337</v>
      </c>
      <c r="F588">
        <v>27.22</v>
      </c>
      <c r="G588">
        <v>217.76</v>
      </c>
      <c r="H588">
        <v>8</v>
      </c>
      <c r="I588" t="s">
        <v>142</v>
      </c>
      <c r="J588" t="s">
        <v>15</v>
      </c>
      <c r="K588" t="s">
        <v>52</v>
      </c>
      <c r="L588" t="s">
        <v>17</v>
      </c>
      <c r="M588" s="44" t="str">
        <f t="shared" si="9"/>
        <v>8 hr |</v>
      </c>
    </row>
    <row r="589" spans="1:13" x14ac:dyDescent="0.25">
      <c r="A589" t="s">
        <v>198</v>
      </c>
      <c r="B589" t="s">
        <v>131</v>
      </c>
      <c r="C589" t="s">
        <v>14</v>
      </c>
      <c r="D589" s="1">
        <v>0.625</v>
      </c>
      <c r="E589" s="1">
        <v>0.95833333333333337</v>
      </c>
      <c r="F589">
        <v>30.5</v>
      </c>
      <c r="G589">
        <v>0</v>
      </c>
      <c r="H589">
        <v>8</v>
      </c>
      <c r="J589" t="s">
        <v>15</v>
      </c>
      <c r="K589" t="s">
        <v>20</v>
      </c>
      <c r="L589" t="s">
        <v>47</v>
      </c>
      <c r="M589" s="44" t="str">
        <f t="shared" si="9"/>
        <v>8 hr |</v>
      </c>
    </row>
    <row r="590" spans="1:13" x14ac:dyDescent="0.25">
      <c r="A590" t="s">
        <v>198</v>
      </c>
      <c r="B590" t="s">
        <v>13</v>
      </c>
      <c r="C590" t="s">
        <v>14</v>
      </c>
      <c r="D590" s="1">
        <v>0.625</v>
      </c>
      <c r="E590" s="1">
        <v>0.95833333333333337</v>
      </c>
      <c r="F590">
        <v>30.5</v>
      </c>
      <c r="G590">
        <v>0</v>
      </c>
      <c r="H590">
        <v>8</v>
      </c>
      <c r="J590" t="s">
        <v>15</v>
      </c>
      <c r="K590" t="s">
        <v>20</v>
      </c>
      <c r="L590" t="s">
        <v>47</v>
      </c>
      <c r="M590" s="44" t="str">
        <f t="shared" si="9"/>
        <v>8 hr |</v>
      </c>
    </row>
    <row r="591" spans="1:13" x14ac:dyDescent="0.25">
      <c r="A591" t="s">
        <v>198</v>
      </c>
      <c r="B591" t="s">
        <v>163</v>
      </c>
      <c r="C591" t="s">
        <v>200</v>
      </c>
      <c r="D591" s="1">
        <v>0.625</v>
      </c>
      <c r="E591" s="1">
        <v>0.95833333333333337</v>
      </c>
      <c r="F591">
        <v>29.63</v>
      </c>
      <c r="G591">
        <v>0</v>
      </c>
      <c r="H591">
        <v>8</v>
      </c>
      <c r="K591" t="s">
        <v>20</v>
      </c>
      <c r="L591" t="s">
        <v>30</v>
      </c>
      <c r="M591" s="44" t="str">
        <f t="shared" si="9"/>
        <v>8 hr |</v>
      </c>
    </row>
    <row r="592" spans="1:13" x14ac:dyDescent="0.25">
      <c r="A592" t="s">
        <v>198</v>
      </c>
      <c r="B592" t="s">
        <v>148</v>
      </c>
      <c r="C592" t="s">
        <v>35</v>
      </c>
      <c r="D592" s="1">
        <v>0.625</v>
      </c>
      <c r="E592" s="1">
        <v>0.95833333333333337</v>
      </c>
      <c r="F592">
        <v>26.88</v>
      </c>
      <c r="G592">
        <v>0</v>
      </c>
      <c r="H592">
        <v>8</v>
      </c>
      <c r="J592" t="s">
        <v>15</v>
      </c>
      <c r="K592" t="s">
        <v>20</v>
      </c>
      <c r="L592" t="s">
        <v>30</v>
      </c>
      <c r="M592" s="44" t="str">
        <f t="shared" si="9"/>
        <v>8 hr |</v>
      </c>
    </row>
    <row r="593" spans="1:13" x14ac:dyDescent="0.25">
      <c r="A593" t="s">
        <v>198</v>
      </c>
      <c r="B593" t="s">
        <v>31</v>
      </c>
      <c r="C593" t="s">
        <v>46</v>
      </c>
      <c r="D593" s="1">
        <v>0.625</v>
      </c>
      <c r="E593" s="1">
        <v>0.95833333333333337</v>
      </c>
      <c r="F593">
        <v>27.22</v>
      </c>
      <c r="G593">
        <v>217.76</v>
      </c>
      <c r="H593">
        <v>8</v>
      </c>
      <c r="I593">
        <v>418</v>
      </c>
      <c r="J593" t="s">
        <v>15</v>
      </c>
      <c r="K593" t="s">
        <v>52</v>
      </c>
      <c r="L593" t="s">
        <v>30</v>
      </c>
      <c r="M593" s="44" t="str">
        <f t="shared" si="9"/>
        <v>8 hr |</v>
      </c>
    </row>
    <row r="594" spans="1:13" x14ac:dyDescent="0.25">
      <c r="A594" t="s">
        <v>198</v>
      </c>
      <c r="B594" t="s">
        <v>107</v>
      </c>
      <c r="C594" t="s">
        <v>55</v>
      </c>
      <c r="D594" s="1">
        <v>0.66666666666666663</v>
      </c>
      <c r="E594" s="1">
        <v>0.91666666666666663</v>
      </c>
      <c r="F594">
        <v>26.88</v>
      </c>
      <c r="G594">
        <v>0</v>
      </c>
      <c r="H594">
        <v>6</v>
      </c>
      <c r="K594" t="s">
        <v>42</v>
      </c>
      <c r="L594" t="s">
        <v>57</v>
      </c>
      <c r="M594" s="44" t="str">
        <f t="shared" si="9"/>
        <v>6 hr |</v>
      </c>
    </row>
    <row r="595" spans="1:13" x14ac:dyDescent="0.25">
      <c r="A595" t="s">
        <v>198</v>
      </c>
      <c r="B595" t="s">
        <v>157</v>
      </c>
      <c r="C595" t="s">
        <v>46</v>
      </c>
      <c r="D595" s="1">
        <v>0.66666666666666663</v>
      </c>
      <c r="E595" s="1">
        <v>0.95833333333333337</v>
      </c>
      <c r="F595">
        <v>26.88</v>
      </c>
      <c r="G595">
        <v>0</v>
      </c>
      <c r="H595">
        <v>7</v>
      </c>
      <c r="I595">
        <v>401</v>
      </c>
      <c r="J595" t="s">
        <v>15</v>
      </c>
      <c r="K595" t="s">
        <v>56</v>
      </c>
      <c r="L595" t="s">
        <v>57</v>
      </c>
      <c r="M595" s="44" t="str">
        <f t="shared" si="9"/>
        <v>7 hr |</v>
      </c>
    </row>
    <row r="596" spans="1:13" x14ac:dyDescent="0.25">
      <c r="A596" t="s">
        <v>198</v>
      </c>
      <c r="B596" t="s">
        <v>149</v>
      </c>
      <c r="C596" t="s">
        <v>201</v>
      </c>
      <c r="D596" s="1">
        <v>0.66666666666666663</v>
      </c>
      <c r="E596" s="1">
        <v>0.875</v>
      </c>
      <c r="F596">
        <v>31.42</v>
      </c>
      <c r="G596">
        <v>0</v>
      </c>
      <c r="H596">
        <v>5</v>
      </c>
      <c r="K596" t="s">
        <v>87</v>
      </c>
      <c r="L596" t="s">
        <v>23</v>
      </c>
      <c r="M596" s="44" t="str">
        <f t="shared" si="9"/>
        <v>5 hr |</v>
      </c>
    </row>
    <row r="597" spans="1:13" x14ac:dyDescent="0.25">
      <c r="A597" t="s">
        <v>198</v>
      </c>
      <c r="B597" t="s">
        <v>108</v>
      </c>
      <c r="C597" t="s">
        <v>150</v>
      </c>
      <c r="D597" s="1">
        <v>0.66666666666666663</v>
      </c>
      <c r="E597" s="1">
        <v>0.95833333333333337</v>
      </c>
      <c r="F597">
        <v>31.42</v>
      </c>
      <c r="G597">
        <v>251.36</v>
      </c>
      <c r="H597">
        <v>7</v>
      </c>
      <c r="K597" t="s">
        <v>20</v>
      </c>
      <c r="L597" t="s">
        <v>30</v>
      </c>
      <c r="M597" s="44" t="str">
        <f t="shared" si="9"/>
        <v>8 hr |</v>
      </c>
    </row>
    <row r="598" spans="1:13" x14ac:dyDescent="0.25">
      <c r="A598" t="s">
        <v>198</v>
      </c>
      <c r="B598" t="s">
        <v>115</v>
      </c>
      <c r="C598" t="s">
        <v>32</v>
      </c>
      <c r="D598" s="1">
        <v>0.6875</v>
      </c>
      <c r="E598" s="1">
        <v>0.95833333333333337</v>
      </c>
      <c r="F598">
        <v>27.22</v>
      </c>
      <c r="G598">
        <v>176.93</v>
      </c>
      <c r="H598">
        <v>6.5</v>
      </c>
      <c r="I598">
        <v>211</v>
      </c>
      <c r="J598" t="s">
        <v>15</v>
      </c>
      <c r="K598" t="s">
        <v>128</v>
      </c>
      <c r="L598" t="s">
        <v>17</v>
      </c>
      <c r="M598" s="44" t="str">
        <f t="shared" si="9"/>
        <v>6.5 hr |</v>
      </c>
    </row>
    <row r="599" spans="1:13" x14ac:dyDescent="0.25">
      <c r="A599" t="s">
        <v>198</v>
      </c>
      <c r="B599" t="s">
        <v>48</v>
      </c>
      <c r="C599" t="s">
        <v>49</v>
      </c>
      <c r="D599" s="1">
        <v>0.70833333333333337</v>
      </c>
      <c r="E599" s="1">
        <v>0.95833333333333337</v>
      </c>
      <c r="F599">
        <v>26.88</v>
      </c>
      <c r="G599">
        <v>0</v>
      </c>
      <c r="H599">
        <v>6</v>
      </c>
      <c r="I599" t="s">
        <v>50</v>
      </c>
      <c r="K599" t="s">
        <v>42</v>
      </c>
      <c r="L599" t="s">
        <v>47</v>
      </c>
      <c r="M599" s="44" t="str">
        <f t="shared" si="9"/>
        <v>6 hr |</v>
      </c>
    </row>
    <row r="600" spans="1:13" x14ac:dyDescent="0.25">
      <c r="A600" t="s">
        <v>198</v>
      </c>
      <c r="B600" t="s">
        <v>62</v>
      </c>
      <c r="C600" t="s">
        <v>49</v>
      </c>
      <c r="D600" s="1">
        <v>0.70833333333333337</v>
      </c>
      <c r="E600" s="1">
        <v>0.95833333333333337</v>
      </c>
      <c r="F600">
        <v>27.22</v>
      </c>
      <c r="G600">
        <v>0</v>
      </c>
      <c r="H600">
        <v>6</v>
      </c>
      <c r="I600" t="s">
        <v>50</v>
      </c>
      <c r="K600" t="s">
        <v>29</v>
      </c>
      <c r="L600" t="s">
        <v>47</v>
      </c>
      <c r="M600" s="44" t="str">
        <f t="shared" si="9"/>
        <v>6 hr |</v>
      </c>
    </row>
    <row r="601" spans="1:13" x14ac:dyDescent="0.25">
      <c r="A601" t="s">
        <v>198</v>
      </c>
      <c r="B601" t="s">
        <v>53</v>
      </c>
      <c r="C601" t="s">
        <v>55</v>
      </c>
      <c r="D601" s="1">
        <v>0.70833333333333337</v>
      </c>
      <c r="E601" s="1">
        <v>0.91666666666666663</v>
      </c>
      <c r="F601">
        <v>26.88</v>
      </c>
      <c r="G601">
        <v>0</v>
      </c>
      <c r="H601">
        <v>5</v>
      </c>
      <c r="K601" t="s">
        <v>87</v>
      </c>
      <c r="L601" t="s">
        <v>57</v>
      </c>
      <c r="M601" s="44" t="str">
        <f t="shared" si="9"/>
        <v>5 hr |</v>
      </c>
    </row>
    <row r="602" spans="1:13" x14ac:dyDescent="0.25">
      <c r="A602" t="s">
        <v>198</v>
      </c>
      <c r="B602" t="s">
        <v>134</v>
      </c>
      <c r="C602" t="s">
        <v>59</v>
      </c>
      <c r="D602" s="1">
        <v>0.70833333333333337</v>
      </c>
      <c r="E602" s="1">
        <v>0.91666666666666663</v>
      </c>
      <c r="F602">
        <v>26.88</v>
      </c>
      <c r="G602">
        <v>134.4</v>
      </c>
      <c r="H602">
        <v>5</v>
      </c>
      <c r="J602" t="s">
        <v>15</v>
      </c>
      <c r="K602" t="s">
        <v>87</v>
      </c>
      <c r="L602" t="s">
        <v>57</v>
      </c>
      <c r="M602" s="44" t="str">
        <f t="shared" si="9"/>
        <v>5 hr |</v>
      </c>
    </row>
    <row r="603" spans="1:13" x14ac:dyDescent="0.25">
      <c r="A603" t="s">
        <v>198</v>
      </c>
      <c r="B603" t="s">
        <v>21</v>
      </c>
      <c r="C603" t="s">
        <v>22</v>
      </c>
      <c r="D603" s="1">
        <v>0.70833333333333337</v>
      </c>
      <c r="E603" s="1">
        <v>0.95833333333333337</v>
      </c>
      <c r="F603">
        <v>26.88</v>
      </c>
      <c r="G603">
        <v>0</v>
      </c>
      <c r="H603">
        <v>6</v>
      </c>
      <c r="K603" t="s">
        <v>42</v>
      </c>
      <c r="L603" t="s">
        <v>23</v>
      </c>
      <c r="M603" s="44" t="str">
        <f t="shared" si="9"/>
        <v>6 hr |</v>
      </c>
    </row>
    <row r="604" spans="1:13" x14ac:dyDescent="0.25">
      <c r="A604" t="s">
        <v>198</v>
      </c>
      <c r="B604" t="s">
        <v>139</v>
      </c>
      <c r="C604" t="s">
        <v>44</v>
      </c>
      <c r="D604" s="1">
        <v>0.70833333333333337</v>
      </c>
      <c r="E604" s="1">
        <v>0.875</v>
      </c>
      <c r="F604">
        <v>27.22</v>
      </c>
      <c r="G604">
        <v>163.32</v>
      </c>
      <c r="H604">
        <v>4</v>
      </c>
      <c r="J604" t="s">
        <v>15</v>
      </c>
      <c r="K604" t="s">
        <v>68</v>
      </c>
      <c r="L604" t="s">
        <v>30</v>
      </c>
      <c r="M604" s="44" t="str">
        <f t="shared" si="9"/>
        <v>4 hr |</v>
      </c>
    </row>
    <row r="605" spans="1:13" x14ac:dyDescent="0.25">
      <c r="A605" t="s">
        <v>198</v>
      </c>
      <c r="B605" t="s">
        <v>64</v>
      </c>
      <c r="C605" t="s">
        <v>202</v>
      </c>
      <c r="D605" s="1">
        <v>0.70833333333333337</v>
      </c>
      <c r="E605" s="1">
        <v>0.875</v>
      </c>
      <c r="F605">
        <v>31.17</v>
      </c>
      <c r="G605">
        <v>0</v>
      </c>
      <c r="H605">
        <v>4</v>
      </c>
      <c r="J605" t="s">
        <v>15</v>
      </c>
      <c r="K605" t="s">
        <v>16</v>
      </c>
      <c r="L605" t="s">
        <v>23</v>
      </c>
      <c r="M605" s="44" t="str">
        <f t="shared" si="9"/>
        <v>4 hr |</v>
      </c>
    </row>
    <row r="606" spans="1:13" x14ac:dyDescent="0.25">
      <c r="A606" t="s">
        <v>198</v>
      </c>
      <c r="B606" t="s">
        <v>25</v>
      </c>
      <c r="C606" t="s">
        <v>26</v>
      </c>
      <c r="D606" s="1">
        <v>0.91666666666666663</v>
      </c>
      <c r="E606" s="1">
        <v>0.33333333333333331</v>
      </c>
      <c r="F606">
        <v>163.1</v>
      </c>
      <c r="G606">
        <v>0</v>
      </c>
      <c r="H606">
        <v>10</v>
      </c>
      <c r="J606" t="s">
        <v>88</v>
      </c>
      <c r="K606" t="s">
        <v>89</v>
      </c>
      <c r="L606" t="s">
        <v>47</v>
      </c>
      <c r="M606" s="44" t="str">
        <f t="shared" si="9"/>
        <v>shift | 02 - HOURLY: 3 hr |</v>
      </c>
    </row>
    <row r="607" spans="1:13" x14ac:dyDescent="0.25">
      <c r="A607" t="s">
        <v>198</v>
      </c>
      <c r="B607" t="s">
        <v>112</v>
      </c>
      <c r="C607" t="s">
        <v>28</v>
      </c>
      <c r="D607" s="1">
        <v>0.95833333333333337</v>
      </c>
      <c r="E607" s="1">
        <v>0.375</v>
      </c>
      <c r="F607">
        <v>27.22</v>
      </c>
      <c r="G607">
        <v>0</v>
      </c>
      <c r="H607">
        <v>10</v>
      </c>
      <c r="K607" t="s">
        <v>94</v>
      </c>
      <c r="L607" t="s">
        <v>47</v>
      </c>
      <c r="M607" s="44" t="str">
        <f t="shared" si="9"/>
        <v>10 hr |</v>
      </c>
    </row>
    <row r="608" spans="1:13" x14ac:dyDescent="0.25">
      <c r="A608" t="s">
        <v>198</v>
      </c>
      <c r="B608" t="s">
        <v>141</v>
      </c>
      <c r="C608" t="s">
        <v>32</v>
      </c>
      <c r="D608" s="1">
        <v>0.95833333333333337</v>
      </c>
      <c r="E608" s="1">
        <v>0.375</v>
      </c>
      <c r="F608">
        <v>163.1</v>
      </c>
      <c r="G608">
        <v>81.66</v>
      </c>
      <c r="H608">
        <v>10</v>
      </c>
      <c r="I608" t="s">
        <v>142</v>
      </c>
      <c r="J608" t="s">
        <v>88</v>
      </c>
      <c r="K608" t="s">
        <v>140</v>
      </c>
      <c r="L608" t="s">
        <v>17</v>
      </c>
      <c r="M608" s="44" t="str">
        <f t="shared" si="9"/>
        <v>shift | 02 - HOURLY-MEDS: 3 hr |</v>
      </c>
    </row>
    <row r="609" spans="1:13" x14ac:dyDescent="0.25">
      <c r="A609" t="s">
        <v>198</v>
      </c>
      <c r="B609" t="s">
        <v>61</v>
      </c>
      <c r="C609" t="s">
        <v>32</v>
      </c>
      <c r="D609" s="1">
        <v>0.95833333333333337</v>
      </c>
      <c r="E609" s="1">
        <v>0.29166666666666669</v>
      </c>
      <c r="F609">
        <v>27.22</v>
      </c>
      <c r="G609">
        <v>217.76</v>
      </c>
      <c r="H609">
        <v>8</v>
      </c>
      <c r="I609">
        <v>214</v>
      </c>
      <c r="J609" t="s">
        <v>15</v>
      </c>
      <c r="K609" t="s">
        <v>52</v>
      </c>
      <c r="L609" t="s">
        <v>17</v>
      </c>
      <c r="M609" s="44" t="str">
        <f t="shared" si="9"/>
        <v>8 hr |</v>
      </c>
    </row>
    <row r="610" spans="1:13" x14ac:dyDescent="0.25">
      <c r="A610" t="s">
        <v>198</v>
      </c>
      <c r="B610" t="s">
        <v>152</v>
      </c>
      <c r="C610" t="s">
        <v>22</v>
      </c>
      <c r="D610" s="1">
        <v>0.95833333333333337</v>
      </c>
      <c r="E610" s="1">
        <v>0.375</v>
      </c>
      <c r="F610">
        <v>26.88</v>
      </c>
      <c r="G610">
        <v>0</v>
      </c>
      <c r="H610">
        <v>10</v>
      </c>
      <c r="K610" t="s">
        <v>97</v>
      </c>
      <c r="L610" t="s">
        <v>37</v>
      </c>
      <c r="M610" s="44" t="str">
        <f t="shared" si="9"/>
        <v>10 hr |</v>
      </c>
    </row>
    <row r="611" spans="1:13" x14ac:dyDescent="0.25">
      <c r="A611" t="s">
        <v>198</v>
      </c>
      <c r="B611" t="s">
        <v>48</v>
      </c>
      <c r="C611" t="s">
        <v>49</v>
      </c>
      <c r="D611" s="1">
        <v>0.95833333333333337</v>
      </c>
      <c r="E611" s="1">
        <v>0.375</v>
      </c>
      <c r="F611">
        <v>26.88</v>
      </c>
      <c r="G611">
        <v>0</v>
      </c>
      <c r="H611">
        <v>10</v>
      </c>
      <c r="I611" t="s">
        <v>172</v>
      </c>
      <c r="K611" t="s">
        <v>97</v>
      </c>
      <c r="L611" t="s">
        <v>30</v>
      </c>
      <c r="M611" s="44" t="str">
        <f t="shared" si="9"/>
        <v>10 hr |</v>
      </c>
    </row>
    <row r="612" spans="1:13" x14ac:dyDescent="0.25">
      <c r="A612" t="s">
        <v>198</v>
      </c>
      <c r="B612" t="s">
        <v>131</v>
      </c>
      <c r="C612" t="s">
        <v>14</v>
      </c>
      <c r="D612" s="1">
        <v>0.95833333333333337</v>
      </c>
      <c r="E612" s="1">
        <v>0.29166666666666669</v>
      </c>
      <c r="F612">
        <v>30.5</v>
      </c>
      <c r="G612">
        <v>0</v>
      </c>
      <c r="H612">
        <v>8</v>
      </c>
      <c r="J612" t="s">
        <v>15</v>
      </c>
      <c r="K612" t="s">
        <v>20</v>
      </c>
      <c r="L612" t="s">
        <v>30</v>
      </c>
      <c r="M612" s="44" t="str">
        <f t="shared" si="9"/>
        <v>8 hr |</v>
      </c>
    </row>
    <row r="613" spans="1:13" x14ac:dyDescent="0.25">
      <c r="A613" t="s">
        <v>203</v>
      </c>
      <c r="B613" t="s">
        <v>189</v>
      </c>
      <c r="C613" t="s">
        <v>187</v>
      </c>
      <c r="D613" s="1">
        <v>0.29166666666666669</v>
      </c>
      <c r="E613" s="1">
        <v>0.625</v>
      </c>
      <c r="F613">
        <v>29.63</v>
      </c>
      <c r="G613">
        <v>0</v>
      </c>
      <c r="H613">
        <v>8</v>
      </c>
      <c r="K613" t="s">
        <v>20</v>
      </c>
      <c r="L613" t="s">
        <v>57</v>
      </c>
      <c r="M613" s="44" t="str">
        <f t="shared" si="9"/>
        <v>8 hr |</v>
      </c>
    </row>
    <row r="614" spans="1:13" x14ac:dyDescent="0.25">
      <c r="A614" t="s">
        <v>203</v>
      </c>
      <c r="B614" t="s">
        <v>139</v>
      </c>
      <c r="C614" t="s">
        <v>19</v>
      </c>
      <c r="D614" s="1">
        <v>0.29166666666666669</v>
      </c>
      <c r="E614" s="1">
        <v>0.45833333333333331</v>
      </c>
      <c r="F614">
        <v>29</v>
      </c>
      <c r="G614">
        <v>116</v>
      </c>
      <c r="H614">
        <v>4</v>
      </c>
      <c r="K614" t="s">
        <v>68</v>
      </c>
      <c r="L614" t="s">
        <v>30</v>
      </c>
      <c r="M614" s="44" t="str">
        <f t="shared" si="9"/>
        <v>4 hr |</v>
      </c>
    </row>
    <row r="615" spans="1:13" x14ac:dyDescent="0.25">
      <c r="A615" t="s">
        <v>203</v>
      </c>
      <c r="B615" t="s">
        <v>101</v>
      </c>
      <c r="C615" t="s">
        <v>78</v>
      </c>
      <c r="D615" s="1">
        <v>0.29166666666666669</v>
      </c>
      <c r="E615" s="1">
        <v>0.625</v>
      </c>
      <c r="F615">
        <v>35</v>
      </c>
      <c r="G615">
        <v>0</v>
      </c>
      <c r="H615">
        <v>8</v>
      </c>
      <c r="K615" t="s">
        <v>20</v>
      </c>
      <c r="L615" t="s">
        <v>23</v>
      </c>
      <c r="M615" s="44" t="str">
        <f t="shared" si="9"/>
        <v>8 hr |</v>
      </c>
    </row>
    <row r="616" spans="1:13" x14ac:dyDescent="0.25">
      <c r="A616" t="s">
        <v>203</v>
      </c>
      <c r="B616" t="s">
        <v>131</v>
      </c>
      <c r="C616" t="s">
        <v>14</v>
      </c>
      <c r="D616" s="1">
        <v>0.29166666666666669</v>
      </c>
      <c r="E616" s="1">
        <v>0.79166666666666663</v>
      </c>
      <c r="F616">
        <v>30.5</v>
      </c>
      <c r="G616">
        <v>0</v>
      </c>
      <c r="H616">
        <v>12</v>
      </c>
      <c r="J616" t="s">
        <v>15</v>
      </c>
      <c r="K616" t="s">
        <v>165</v>
      </c>
      <c r="L616" t="s">
        <v>47</v>
      </c>
      <c r="M616" s="44" t="str">
        <f t="shared" si="9"/>
        <v>12 hr |</v>
      </c>
    </row>
    <row r="617" spans="1:13" x14ac:dyDescent="0.25">
      <c r="A617" t="s">
        <v>203</v>
      </c>
      <c r="B617" t="s">
        <v>25</v>
      </c>
      <c r="C617" t="s">
        <v>26</v>
      </c>
      <c r="D617" s="1">
        <v>0.33333333333333331</v>
      </c>
      <c r="E617" s="1">
        <v>0.66666666666666663</v>
      </c>
      <c r="F617">
        <v>26.88</v>
      </c>
      <c r="G617">
        <v>0</v>
      </c>
      <c r="H617">
        <v>8</v>
      </c>
      <c r="J617" t="s">
        <v>15</v>
      </c>
      <c r="K617" t="s">
        <v>20</v>
      </c>
      <c r="L617" t="s">
        <v>47</v>
      </c>
      <c r="M617" s="44" t="str">
        <f t="shared" si="9"/>
        <v>8 hr |</v>
      </c>
    </row>
    <row r="618" spans="1:13" x14ac:dyDescent="0.25">
      <c r="A618" t="s">
        <v>203</v>
      </c>
      <c r="B618" t="s">
        <v>18</v>
      </c>
      <c r="C618" t="s">
        <v>35</v>
      </c>
      <c r="D618" s="1">
        <v>0.35416666666666669</v>
      </c>
      <c r="E618" s="1">
        <v>0.66666666666666663</v>
      </c>
      <c r="F618">
        <v>26.88</v>
      </c>
      <c r="G618">
        <v>0</v>
      </c>
      <c r="H618">
        <v>7.5</v>
      </c>
      <c r="J618" t="s">
        <v>15</v>
      </c>
      <c r="K618" t="s">
        <v>39</v>
      </c>
      <c r="L618" t="s">
        <v>17</v>
      </c>
      <c r="M618" s="44" t="str">
        <f t="shared" si="9"/>
        <v>7.5 hr |</v>
      </c>
    </row>
    <row r="619" spans="1:13" x14ac:dyDescent="0.25">
      <c r="A619" t="s">
        <v>203</v>
      </c>
      <c r="B619" t="s">
        <v>34</v>
      </c>
      <c r="C619" t="s">
        <v>35</v>
      </c>
      <c r="D619" s="1">
        <v>0.35416666666666669</v>
      </c>
      <c r="E619" s="1">
        <v>0.66666666666666663</v>
      </c>
      <c r="F619">
        <v>26.88</v>
      </c>
      <c r="G619">
        <v>201.6</v>
      </c>
      <c r="H619">
        <v>7.5</v>
      </c>
      <c r="J619" t="s">
        <v>15</v>
      </c>
      <c r="K619" t="s">
        <v>39</v>
      </c>
      <c r="L619" t="s">
        <v>17</v>
      </c>
      <c r="M619" s="44" t="str">
        <f t="shared" si="9"/>
        <v>7.5 hr |</v>
      </c>
    </row>
    <row r="620" spans="1:13" x14ac:dyDescent="0.25">
      <c r="A620" t="s">
        <v>203</v>
      </c>
      <c r="B620" t="s">
        <v>38</v>
      </c>
      <c r="C620" t="s">
        <v>35</v>
      </c>
      <c r="D620" s="1">
        <v>0.35416666666666669</v>
      </c>
      <c r="E620" s="1">
        <v>0.66666666666666663</v>
      </c>
      <c r="F620">
        <v>26.88</v>
      </c>
      <c r="G620">
        <v>0</v>
      </c>
      <c r="H620">
        <v>7.5</v>
      </c>
      <c r="J620" t="s">
        <v>15</v>
      </c>
      <c r="K620" t="s">
        <v>39</v>
      </c>
      <c r="L620" t="s">
        <v>17</v>
      </c>
      <c r="M620" s="44" t="str">
        <f t="shared" si="9"/>
        <v>7.5 hr |</v>
      </c>
    </row>
    <row r="621" spans="1:13" x14ac:dyDescent="0.25">
      <c r="A621" t="s">
        <v>203</v>
      </c>
      <c r="B621" t="s">
        <v>84</v>
      </c>
      <c r="C621" t="s">
        <v>49</v>
      </c>
      <c r="D621" s="1">
        <v>0.375</v>
      </c>
      <c r="E621" s="1">
        <v>0.70833333333333337</v>
      </c>
      <c r="F621">
        <v>26.88</v>
      </c>
      <c r="G621">
        <v>0</v>
      </c>
      <c r="H621">
        <v>8</v>
      </c>
      <c r="I621" t="s">
        <v>50</v>
      </c>
      <c r="K621" t="s">
        <v>20</v>
      </c>
      <c r="L621" t="s">
        <v>47</v>
      </c>
      <c r="M621" s="44" t="str">
        <f t="shared" si="9"/>
        <v>8 hr |</v>
      </c>
    </row>
    <row r="622" spans="1:13" x14ac:dyDescent="0.25">
      <c r="A622" t="s">
        <v>203</v>
      </c>
      <c r="B622" t="s">
        <v>79</v>
      </c>
      <c r="C622" t="s">
        <v>75</v>
      </c>
      <c r="D622" s="1">
        <v>0.375</v>
      </c>
      <c r="E622" s="1">
        <v>0.70833333333333337</v>
      </c>
      <c r="F622">
        <v>27.22</v>
      </c>
      <c r="G622">
        <v>217.76</v>
      </c>
      <c r="H622">
        <v>8</v>
      </c>
      <c r="K622" t="s">
        <v>52</v>
      </c>
      <c r="L622" t="s">
        <v>30</v>
      </c>
      <c r="M622" s="44" t="str">
        <f t="shared" si="9"/>
        <v>8 hr |</v>
      </c>
    </row>
    <row r="623" spans="1:13" x14ac:dyDescent="0.25">
      <c r="A623" t="s">
        <v>203</v>
      </c>
      <c r="B623" t="s">
        <v>169</v>
      </c>
      <c r="C623" t="s">
        <v>55</v>
      </c>
      <c r="D623" s="1">
        <v>0.375</v>
      </c>
      <c r="E623" s="1">
        <v>0.58333333333333337</v>
      </c>
      <c r="F623">
        <v>26.88</v>
      </c>
      <c r="G623">
        <v>0</v>
      </c>
      <c r="H623">
        <v>5</v>
      </c>
      <c r="K623" t="s">
        <v>87</v>
      </c>
      <c r="L623" t="s">
        <v>57</v>
      </c>
      <c r="M623" s="44" t="str">
        <f t="shared" si="9"/>
        <v>5 hr |</v>
      </c>
    </row>
    <row r="624" spans="1:13" x14ac:dyDescent="0.25">
      <c r="A624" t="s">
        <v>203</v>
      </c>
      <c r="B624" t="s">
        <v>204</v>
      </c>
      <c r="C624" t="s">
        <v>55</v>
      </c>
      <c r="D624" s="1">
        <v>0.375</v>
      </c>
      <c r="E624" s="1">
        <v>0.625</v>
      </c>
      <c r="F624">
        <v>27.22</v>
      </c>
      <c r="G624">
        <v>163.32</v>
      </c>
      <c r="H624">
        <v>6</v>
      </c>
      <c r="K624" t="s">
        <v>29</v>
      </c>
      <c r="L624" t="s">
        <v>57</v>
      </c>
      <c r="M624" s="44" t="str">
        <f t="shared" si="9"/>
        <v>6 hr |</v>
      </c>
    </row>
    <row r="625" spans="1:13" x14ac:dyDescent="0.25">
      <c r="A625" t="s">
        <v>203</v>
      </c>
      <c r="B625" t="s">
        <v>107</v>
      </c>
      <c r="C625" t="s">
        <v>55</v>
      </c>
      <c r="D625" s="1">
        <v>0.375</v>
      </c>
      <c r="E625" s="1">
        <v>0.70833333333333337</v>
      </c>
      <c r="F625">
        <v>26.88</v>
      </c>
      <c r="G625">
        <v>0</v>
      </c>
      <c r="H625">
        <v>8</v>
      </c>
      <c r="K625" t="s">
        <v>20</v>
      </c>
      <c r="L625" t="s">
        <v>57</v>
      </c>
      <c r="M625" s="44" t="str">
        <f t="shared" si="9"/>
        <v>8 hr |</v>
      </c>
    </row>
    <row r="626" spans="1:13" x14ac:dyDescent="0.25">
      <c r="A626" t="s">
        <v>203</v>
      </c>
      <c r="B626" t="s">
        <v>54</v>
      </c>
      <c r="C626" t="s">
        <v>59</v>
      </c>
      <c r="D626" s="1">
        <v>0.375</v>
      </c>
      <c r="E626" s="1">
        <v>0.625</v>
      </c>
      <c r="F626">
        <v>26.88</v>
      </c>
      <c r="G626">
        <v>0</v>
      </c>
      <c r="H626">
        <v>6</v>
      </c>
      <c r="J626" t="s">
        <v>15</v>
      </c>
      <c r="K626" t="s">
        <v>42</v>
      </c>
      <c r="L626" t="s">
        <v>57</v>
      </c>
      <c r="M626" s="44" t="str">
        <f t="shared" si="9"/>
        <v>6 hr |</v>
      </c>
    </row>
    <row r="627" spans="1:13" x14ac:dyDescent="0.25">
      <c r="A627" t="s">
        <v>203</v>
      </c>
      <c r="B627" t="s">
        <v>134</v>
      </c>
      <c r="C627" t="s">
        <v>59</v>
      </c>
      <c r="D627" s="1">
        <v>0.375</v>
      </c>
      <c r="E627" s="1">
        <v>0.91666666666666663</v>
      </c>
      <c r="F627">
        <v>26.88</v>
      </c>
      <c r="G627">
        <v>0</v>
      </c>
      <c r="H627">
        <v>13</v>
      </c>
      <c r="J627" t="s">
        <v>15</v>
      </c>
      <c r="K627" t="s">
        <v>167</v>
      </c>
      <c r="L627" t="s">
        <v>57</v>
      </c>
      <c r="M627" s="44" t="str">
        <f t="shared" si="9"/>
        <v>13 hr |</v>
      </c>
    </row>
    <row r="628" spans="1:13" x14ac:dyDescent="0.25">
      <c r="A628" t="s">
        <v>203</v>
      </c>
      <c r="B628" t="s">
        <v>21</v>
      </c>
      <c r="C628" t="s">
        <v>22</v>
      </c>
      <c r="D628" s="1">
        <v>0.375</v>
      </c>
      <c r="E628" s="1">
        <v>0.70833333333333337</v>
      </c>
      <c r="F628">
        <v>26.88</v>
      </c>
      <c r="G628">
        <v>0</v>
      </c>
      <c r="H628">
        <v>8</v>
      </c>
      <c r="K628" t="s">
        <v>20</v>
      </c>
      <c r="L628" t="s">
        <v>23</v>
      </c>
      <c r="M628" s="44" t="str">
        <f t="shared" si="9"/>
        <v>8 hr |</v>
      </c>
    </row>
    <row r="629" spans="1:13" x14ac:dyDescent="0.25">
      <c r="A629" t="s">
        <v>203</v>
      </c>
      <c r="B629" t="s">
        <v>67</v>
      </c>
      <c r="C629" t="s">
        <v>22</v>
      </c>
      <c r="D629" s="1">
        <v>0.375</v>
      </c>
      <c r="E629" s="1">
        <v>0.70833333333333337</v>
      </c>
      <c r="F629">
        <v>27.22</v>
      </c>
      <c r="G629">
        <v>217.76</v>
      </c>
      <c r="H629">
        <v>8</v>
      </c>
      <c r="K629" t="s">
        <v>52</v>
      </c>
      <c r="L629" t="s">
        <v>23</v>
      </c>
      <c r="M629" s="44" t="str">
        <f t="shared" si="9"/>
        <v>8 hr |</v>
      </c>
    </row>
    <row r="630" spans="1:13" x14ac:dyDescent="0.25">
      <c r="A630" t="s">
        <v>203</v>
      </c>
      <c r="B630" t="s">
        <v>111</v>
      </c>
      <c r="C630" t="s">
        <v>32</v>
      </c>
      <c r="D630" s="1">
        <v>0.375</v>
      </c>
      <c r="E630" s="1">
        <v>0.625</v>
      </c>
      <c r="F630">
        <v>27.22</v>
      </c>
      <c r="G630">
        <v>163.32</v>
      </c>
      <c r="H630">
        <v>6</v>
      </c>
      <c r="I630" t="s">
        <v>142</v>
      </c>
      <c r="J630" t="s">
        <v>15</v>
      </c>
      <c r="K630" t="s">
        <v>29</v>
      </c>
      <c r="L630" t="s">
        <v>17</v>
      </c>
      <c r="M630" s="44" t="str">
        <f t="shared" si="9"/>
        <v>6 hr |</v>
      </c>
    </row>
    <row r="631" spans="1:13" x14ac:dyDescent="0.25">
      <c r="A631" t="s">
        <v>203</v>
      </c>
      <c r="B631" t="s">
        <v>60</v>
      </c>
      <c r="C631" t="s">
        <v>32</v>
      </c>
      <c r="D631" s="1">
        <v>0.375</v>
      </c>
      <c r="E631" s="1">
        <v>0.625</v>
      </c>
      <c r="F631">
        <v>27.22</v>
      </c>
      <c r="G631">
        <v>163.32</v>
      </c>
      <c r="H631">
        <v>6</v>
      </c>
      <c r="I631">
        <v>402</v>
      </c>
      <c r="J631" t="s">
        <v>15</v>
      </c>
      <c r="K631" t="s">
        <v>29</v>
      </c>
      <c r="L631" t="s">
        <v>17</v>
      </c>
      <c r="M631" s="44" t="str">
        <f t="shared" si="9"/>
        <v>6 hr |</v>
      </c>
    </row>
    <row r="632" spans="1:13" x14ac:dyDescent="0.25">
      <c r="A632" t="s">
        <v>203</v>
      </c>
      <c r="B632" t="s">
        <v>119</v>
      </c>
      <c r="C632" t="s">
        <v>46</v>
      </c>
      <c r="D632" s="1">
        <v>0.375</v>
      </c>
      <c r="E632" s="1">
        <v>0.70833333333333337</v>
      </c>
      <c r="F632">
        <v>26.88</v>
      </c>
      <c r="G632">
        <v>215.04</v>
      </c>
      <c r="H632">
        <v>8</v>
      </c>
      <c r="I632">
        <v>605</v>
      </c>
      <c r="J632" t="s">
        <v>15</v>
      </c>
      <c r="K632" t="s">
        <v>20</v>
      </c>
      <c r="L632" t="s">
        <v>57</v>
      </c>
      <c r="M632" s="44" t="str">
        <f t="shared" si="9"/>
        <v>8 hr |</v>
      </c>
    </row>
    <row r="633" spans="1:13" x14ac:dyDescent="0.25">
      <c r="A633" t="s">
        <v>203</v>
      </c>
      <c r="B633" t="s">
        <v>31</v>
      </c>
      <c r="C633" t="s">
        <v>46</v>
      </c>
      <c r="D633" s="1">
        <v>0.375</v>
      </c>
      <c r="E633" s="1">
        <v>0.70833333333333337</v>
      </c>
      <c r="F633">
        <v>27.22</v>
      </c>
      <c r="G633">
        <v>217.76</v>
      </c>
      <c r="H633">
        <v>8</v>
      </c>
      <c r="I633">
        <v>411</v>
      </c>
      <c r="J633" t="s">
        <v>15</v>
      </c>
      <c r="K633" t="s">
        <v>52</v>
      </c>
      <c r="L633" t="s">
        <v>47</v>
      </c>
      <c r="M633" s="44" t="str">
        <f t="shared" si="9"/>
        <v>8 hr |</v>
      </c>
    </row>
    <row r="634" spans="1:13" x14ac:dyDescent="0.25">
      <c r="A634" t="s">
        <v>203</v>
      </c>
      <c r="B634" t="s">
        <v>61</v>
      </c>
      <c r="C634" t="s">
        <v>32</v>
      </c>
      <c r="D634" s="1">
        <v>0.375</v>
      </c>
      <c r="E634" s="1">
        <v>0.625</v>
      </c>
      <c r="F634">
        <v>27.22</v>
      </c>
      <c r="G634">
        <v>163.32</v>
      </c>
      <c r="H634">
        <v>6</v>
      </c>
      <c r="I634">
        <v>318</v>
      </c>
      <c r="J634" t="s">
        <v>15</v>
      </c>
      <c r="K634" t="s">
        <v>29</v>
      </c>
      <c r="L634" t="s">
        <v>30</v>
      </c>
      <c r="M634" s="44" t="str">
        <f t="shared" si="9"/>
        <v>6 hr |</v>
      </c>
    </row>
    <row r="635" spans="1:13" x14ac:dyDescent="0.25">
      <c r="A635" t="s">
        <v>203</v>
      </c>
      <c r="B635" t="s">
        <v>105</v>
      </c>
      <c r="C635" t="s">
        <v>46</v>
      </c>
      <c r="D635" s="1">
        <v>0.375</v>
      </c>
      <c r="E635" s="1">
        <v>0.70833333333333337</v>
      </c>
      <c r="F635">
        <v>26.88</v>
      </c>
      <c r="G635">
        <v>0</v>
      </c>
      <c r="H635">
        <v>8</v>
      </c>
      <c r="I635">
        <v>605</v>
      </c>
      <c r="J635" t="s">
        <v>15</v>
      </c>
      <c r="K635" t="s">
        <v>106</v>
      </c>
      <c r="L635" t="s">
        <v>57</v>
      </c>
      <c r="M635" s="44" t="str">
        <f t="shared" si="9"/>
        <v>0 hr |</v>
      </c>
    </row>
    <row r="636" spans="1:13" x14ac:dyDescent="0.25">
      <c r="A636" t="s">
        <v>203</v>
      </c>
      <c r="B636" t="s">
        <v>58</v>
      </c>
      <c r="C636" t="s">
        <v>75</v>
      </c>
      <c r="D636" s="1">
        <v>0.5</v>
      </c>
      <c r="E636" s="1">
        <v>0.79166666666666663</v>
      </c>
      <c r="F636">
        <v>26.88</v>
      </c>
      <c r="G636">
        <v>188.16</v>
      </c>
      <c r="H636">
        <v>7</v>
      </c>
      <c r="K636" t="s">
        <v>56</v>
      </c>
      <c r="L636" t="s">
        <v>30</v>
      </c>
      <c r="M636" s="44" t="str">
        <f t="shared" si="9"/>
        <v>7 hr |</v>
      </c>
    </row>
    <row r="637" spans="1:13" x14ac:dyDescent="0.25">
      <c r="A637" t="s">
        <v>203</v>
      </c>
      <c r="B637" t="s">
        <v>112</v>
      </c>
      <c r="C637" t="s">
        <v>73</v>
      </c>
      <c r="D637" s="1">
        <v>0.5</v>
      </c>
      <c r="E637" s="1">
        <v>0.70833333333333337</v>
      </c>
      <c r="F637">
        <v>22</v>
      </c>
      <c r="G637">
        <v>110</v>
      </c>
      <c r="H637">
        <v>5</v>
      </c>
      <c r="K637" t="s">
        <v>158</v>
      </c>
      <c r="L637" t="s">
        <v>57</v>
      </c>
      <c r="M637" s="44" t="str">
        <f t="shared" si="9"/>
        <v>5 hr |</v>
      </c>
    </row>
    <row r="638" spans="1:13" x14ac:dyDescent="0.25">
      <c r="A638" t="s">
        <v>203</v>
      </c>
      <c r="B638" t="s">
        <v>115</v>
      </c>
      <c r="C638" t="s">
        <v>32</v>
      </c>
      <c r="D638" s="1">
        <v>0.5</v>
      </c>
      <c r="E638" s="1">
        <v>0.625</v>
      </c>
      <c r="F638">
        <v>27.22</v>
      </c>
      <c r="G638">
        <v>81.66</v>
      </c>
      <c r="H638">
        <v>3</v>
      </c>
      <c r="I638">
        <v>211</v>
      </c>
      <c r="J638" t="s">
        <v>15</v>
      </c>
      <c r="K638" t="s">
        <v>118</v>
      </c>
      <c r="L638" t="s">
        <v>30</v>
      </c>
      <c r="M638" s="44" t="str">
        <f t="shared" si="9"/>
        <v>3 hr |</v>
      </c>
    </row>
    <row r="639" spans="1:13" x14ac:dyDescent="0.25">
      <c r="A639" t="s">
        <v>203</v>
      </c>
      <c r="B639" t="s">
        <v>159</v>
      </c>
      <c r="C639" t="s">
        <v>14</v>
      </c>
      <c r="D639" s="1">
        <v>0.58333333333333337</v>
      </c>
      <c r="E639" s="1">
        <v>0.91666666666666663</v>
      </c>
      <c r="F639">
        <v>30.5</v>
      </c>
      <c r="G639">
        <v>0</v>
      </c>
      <c r="H639">
        <v>8</v>
      </c>
      <c r="J639" t="s">
        <v>15</v>
      </c>
      <c r="K639" t="s">
        <v>20</v>
      </c>
      <c r="L639" t="s">
        <v>47</v>
      </c>
      <c r="M639" s="44" t="str">
        <f t="shared" si="9"/>
        <v>8 hr |</v>
      </c>
    </row>
    <row r="640" spans="1:13" x14ac:dyDescent="0.25">
      <c r="A640" t="s">
        <v>203</v>
      </c>
      <c r="B640" t="s">
        <v>113</v>
      </c>
      <c r="C640" t="s">
        <v>28</v>
      </c>
      <c r="D640" s="1">
        <v>0.625</v>
      </c>
      <c r="E640" s="1">
        <v>0.95833333333333337</v>
      </c>
      <c r="F640">
        <v>27.22</v>
      </c>
      <c r="G640">
        <v>217.76</v>
      </c>
      <c r="H640">
        <v>8</v>
      </c>
      <c r="K640" t="s">
        <v>52</v>
      </c>
      <c r="L640" t="s">
        <v>47</v>
      </c>
      <c r="M640" s="44" t="str">
        <f t="shared" si="9"/>
        <v>8 hr |</v>
      </c>
    </row>
    <row r="641" spans="1:13" x14ac:dyDescent="0.25">
      <c r="A641" t="s">
        <v>203</v>
      </c>
      <c r="B641" t="s">
        <v>76</v>
      </c>
      <c r="C641" t="s">
        <v>28</v>
      </c>
      <c r="D641" s="1">
        <v>0.625</v>
      </c>
      <c r="E641" s="1">
        <v>0.95833333333333337</v>
      </c>
      <c r="F641">
        <v>26.88</v>
      </c>
      <c r="G641">
        <v>0</v>
      </c>
      <c r="H641">
        <v>8</v>
      </c>
      <c r="K641" t="s">
        <v>20</v>
      </c>
      <c r="L641" t="s">
        <v>47</v>
      </c>
      <c r="M641" s="44" t="str">
        <f t="shared" si="9"/>
        <v>8 hr |</v>
      </c>
    </row>
    <row r="642" spans="1:13" x14ac:dyDescent="0.25">
      <c r="A642" t="s">
        <v>203</v>
      </c>
      <c r="B642" t="s">
        <v>152</v>
      </c>
      <c r="C642" t="s">
        <v>22</v>
      </c>
      <c r="D642" s="1">
        <v>0.625</v>
      </c>
      <c r="E642" s="1">
        <v>0.95833333333333337</v>
      </c>
      <c r="F642">
        <v>27.22</v>
      </c>
      <c r="G642">
        <v>217.76</v>
      </c>
      <c r="H642">
        <v>8</v>
      </c>
      <c r="K642" t="s">
        <v>52</v>
      </c>
      <c r="L642" t="s">
        <v>23</v>
      </c>
      <c r="M642" s="44" t="str">
        <f t="shared" si="9"/>
        <v>8 hr |</v>
      </c>
    </row>
    <row r="643" spans="1:13" x14ac:dyDescent="0.25">
      <c r="A643" t="s">
        <v>203</v>
      </c>
      <c r="B643" t="s">
        <v>51</v>
      </c>
      <c r="C643" t="s">
        <v>22</v>
      </c>
      <c r="D643" s="1">
        <v>0.625</v>
      </c>
      <c r="E643" s="1">
        <v>0.95833333333333337</v>
      </c>
      <c r="F643">
        <v>27.22</v>
      </c>
      <c r="G643">
        <v>217.76</v>
      </c>
      <c r="H643">
        <v>8</v>
      </c>
      <c r="K643" t="s">
        <v>52</v>
      </c>
      <c r="L643" t="s">
        <v>23</v>
      </c>
      <c r="M643" s="44" t="str">
        <f t="shared" ref="M643:M663" si="10">IF($K643="","",TRIM(MID($K643,FIND(":",$K643)+1,LEN($K643))))</f>
        <v>8 hr |</v>
      </c>
    </row>
    <row r="644" spans="1:13" x14ac:dyDescent="0.25">
      <c r="A644" t="s">
        <v>203</v>
      </c>
      <c r="B644" t="s">
        <v>115</v>
      </c>
      <c r="C644" t="s">
        <v>32</v>
      </c>
      <c r="D644" s="1">
        <v>0.625</v>
      </c>
      <c r="E644" s="1">
        <v>0.95833333333333337</v>
      </c>
      <c r="F644">
        <v>27.22</v>
      </c>
      <c r="G644">
        <v>217.76</v>
      </c>
      <c r="H644">
        <v>8</v>
      </c>
      <c r="I644">
        <v>318</v>
      </c>
      <c r="J644" t="s">
        <v>15</v>
      </c>
      <c r="K644" t="s">
        <v>52</v>
      </c>
      <c r="L644" t="s">
        <v>17</v>
      </c>
      <c r="M644" s="44" t="str">
        <f t="shared" si="10"/>
        <v>8 hr |</v>
      </c>
    </row>
    <row r="645" spans="1:13" x14ac:dyDescent="0.25">
      <c r="A645" t="s">
        <v>203</v>
      </c>
      <c r="B645" t="s">
        <v>60</v>
      </c>
      <c r="C645" t="s">
        <v>32</v>
      </c>
      <c r="D645" s="1">
        <v>0.625</v>
      </c>
      <c r="E645" s="1">
        <v>0.95833333333333337</v>
      </c>
      <c r="F645">
        <v>27.22</v>
      </c>
      <c r="G645">
        <v>217.76</v>
      </c>
      <c r="H645">
        <v>8</v>
      </c>
      <c r="I645">
        <v>402</v>
      </c>
      <c r="J645" t="s">
        <v>15</v>
      </c>
      <c r="K645" t="s">
        <v>52</v>
      </c>
      <c r="L645" t="s">
        <v>17</v>
      </c>
      <c r="M645" s="44" t="str">
        <f t="shared" si="10"/>
        <v>8 hr |</v>
      </c>
    </row>
    <row r="646" spans="1:13" x14ac:dyDescent="0.25">
      <c r="A646" t="s">
        <v>203</v>
      </c>
      <c r="B646" t="s">
        <v>77</v>
      </c>
      <c r="C646" t="s">
        <v>78</v>
      </c>
      <c r="D646" s="1">
        <v>0.625</v>
      </c>
      <c r="E646" s="1">
        <v>0.95833333333333337</v>
      </c>
      <c r="F646">
        <v>35</v>
      </c>
      <c r="G646">
        <v>0</v>
      </c>
      <c r="H646">
        <v>8</v>
      </c>
      <c r="K646" t="s">
        <v>20</v>
      </c>
      <c r="L646" t="s">
        <v>23</v>
      </c>
      <c r="M646" s="44" t="str">
        <f t="shared" si="10"/>
        <v>8 hr |</v>
      </c>
    </row>
    <row r="647" spans="1:13" x14ac:dyDescent="0.25">
      <c r="A647" t="s">
        <v>203</v>
      </c>
      <c r="B647" t="s">
        <v>13</v>
      </c>
      <c r="C647" t="s">
        <v>14</v>
      </c>
      <c r="D647" s="1">
        <v>0.625</v>
      </c>
      <c r="E647" s="1">
        <v>0.95833333333333337</v>
      </c>
      <c r="F647">
        <v>30.5</v>
      </c>
      <c r="G647">
        <v>0</v>
      </c>
      <c r="H647">
        <v>8</v>
      </c>
      <c r="J647" t="s">
        <v>15</v>
      </c>
      <c r="K647" t="s">
        <v>20</v>
      </c>
      <c r="L647" t="s">
        <v>47</v>
      </c>
      <c r="M647" s="44" t="str">
        <f t="shared" si="10"/>
        <v>8 hr |</v>
      </c>
    </row>
    <row r="648" spans="1:13" x14ac:dyDescent="0.25">
      <c r="A648" t="s">
        <v>203</v>
      </c>
      <c r="B648" t="s">
        <v>114</v>
      </c>
      <c r="C648" t="s">
        <v>46</v>
      </c>
      <c r="D648" s="1">
        <v>0.625</v>
      </c>
      <c r="E648" s="1">
        <v>0.95833333333333337</v>
      </c>
      <c r="F648">
        <v>26.88</v>
      </c>
      <c r="G648">
        <v>0</v>
      </c>
      <c r="H648">
        <v>8</v>
      </c>
      <c r="I648">
        <v>518</v>
      </c>
      <c r="J648" t="s">
        <v>15</v>
      </c>
      <c r="K648" t="s">
        <v>20</v>
      </c>
      <c r="L648" t="s">
        <v>30</v>
      </c>
      <c r="M648" s="44" t="str">
        <f t="shared" si="10"/>
        <v>8 hr |</v>
      </c>
    </row>
    <row r="649" spans="1:13" x14ac:dyDescent="0.25">
      <c r="A649" t="s">
        <v>203</v>
      </c>
      <c r="B649" t="s">
        <v>96</v>
      </c>
      <c r="C649" t="s">
        <v>35</v>
      </c>
      <c r="D649" s="1">
        <v>0.66666666666666663</v>
      </c>
      <c r="E649" s="1">
        <v>0.95833333333333337</v>
      </c>
      <c r="F649">
        <v>26.88</v>
      </c>
      <c r="G649">
        <v>0</v>
      </c>
      <c r="H649">
        <v>7</v>
      </c>
      <c r="J649" t="s">
        <v>15</v>
      </c>
      <c r="K649" t="s">
        <v>56</v>
      </c>
      <c r="L649" t="s">
        <v>17</v>
      </c>
      <c r="M649" s="44" t="str">
        <f t="shared" si="10"/>
        <v>7 hr |</v>
      </c>
    </row>
    <row r="650" spans="1:13" x14ac:dyDescent="0.25">
      <c r="A650" t="s">
        <v>203</v>
      </c>
      <c r="B650" t="s">
        <v>156</v>
      </c>
      <c r="C650" t="s">
        <v>35</v>
      </c>
      <c r="D650" s="1">
        <v>0.66666666666666663</v>
      </c>
      <c r="E650" s="1">
        <v>0.95833333333333337</v>
      </c>
      <c r="F650">
        <v>26.88</v>
      </c>
      <c r="G650">
        <v>188.16</v>
      </c>
      <c r="H650">
        <v>7</v>
      </c>
      <c r="J650" t="s">
        <v>15</v>
      </c>
      <c r="K650" t="s">
        <v>56</v>
      </c>
      <c r="L650" t="s">
        <v>17</v>
      </c>
      <c r="M650" s="44" t="str">
        <f t="shared" si="10"/>
        <v>7 hr |</v>
      </c>
    </row>
    <row r="651" spans="1:13" x14ac:dyDescent="0.25">
      <c r="A651" t="s">
        <v>203</v>
      </c>
      <c r="B651" t="s">
        <v>157</v>
      </c>
      <c r="C651" t="s">
        <v>46</v>
      </c>
      <c r="D651" s="1">
        <v>0.66666666666666663</v>
      </c>
      <c r="E651" s="1">
        <v>0.95833333333333337</v>
      </c>
      <c r="F651">
        <v>26.88</v>
      </c>
      <c r="G651">
        <v>0</v>
      </c>
      <c r="H651">
        <v>7</v>
      </c>
      <c r="I651">
        <v>401</v>
      </c>
      <c r="J651" t="s">
        <v>15</v>
      </c>
      <c r="K651" t="s">
        <v>56</v>
      </c>
      <c r="L651" t="s">
        <v>57</v>
      </c>
      <c r="M651" s="44" t="str">
        <f t="shared" si="10"/>
        <v>7 hr |</v>
      </c>
    </row>
    <row r="652" spans="1:13" x14ac:dyDescent="0.25">
      <c r="A652" t="s">
        <v>203</v>
      </c>
      <c r="B652" t="s">
        <v>85</v>
      </c>
      <c r="C652" t="s">
        <v>49</v>
      </c>
      <c r="D652" s="1">
        <v>0.70833333333333337</v>
      </c>
      <c r="E652" s="1">
        <v>0.95833333333333337</v>
      </c>
      <c r="F652">
        <v>27.22</v>
      </c>
      <c r="G652">
        <v>163.32</v>
      </c>
      <c r="H652">
        <v>6</v>
      </c>
      <c r="I652" t="s">
        <v>50</v>
      </c>
      <c r="K652" t="s">
        <v>29</v>
      </c>
      <c r="L652" t="s">
        <v>47</v>
      </c>
      <c r="M652" s="44" t="str">
        <f t="shared" si="10"/>
        <v>6 hr |</v>
      </c>
    </row>
    <row r="653" spans="1:13" x14ac:dyDescent="0.25">
      <c r="A653" t="s">
        <v>203</v>
      </c>
      <c r="B653" t="s">
        <v>72</v>
      </c>
      <c r="C653" t="s">
        <v>49</v>
      </c>
      <c r="D653" s="1">
        <v>0.70833333333333337</v>
      </c>
      <c r="E653" s="1">
        <v>0.95833333333333337</v>
      </c>
      <c r="F653">
        <v>27.22</v>
      </c>
      <c r="G653">
        <v>163.32</v>
      </c>
      <c r="H653">
        <v>6</v>
      </c>
      <c r="I653" t="s">
        <v>50</v>
      </c>
      <c r="K653" t="s">
        <v>29</v>
      </c>
      <c r="L653" t="s">
        <v>47</v>
      </c>
      <c r="M653" s="44" t="str">
        <f t="shared" si="10"/>
        <v>6 hr |</v>
      </c>
    </row>
    <row r="654" spans="1:13" x14ac:dyDescent="0.25">
      <c r="A654" t="s">
        <v>203</v>
      </c>
      <c r="B654" t="s">
        <v>146</v>
      </c>
      <c r="C654" t="s">
        <v>75</v>
      </c>
      <c r="D654" s="1">
        <v>0.70833333333333337</v>
      </c>
      <c r="E654" s="1">
        <v>0.95833333333333337</v>
      </c>
      <c r="F654">
        <v>27.22</v>
      </c>
      <c r="G654">
        <v>163.32</v>
      </c>
      <c r="H654">
        <v>6</v>
      </c>
      <c r="K654" t="s">
        <v>29</v>
      </c>
      <c r="L654" t="s">
        <v>30</v>
      </c>
      <c r="M654" s="44" t="str">
        <f t="shared" si="10"/>
        <v>6 hr |</v>
      </c>
    </row>
    <row r="655" spans="1:13" x14ac:dyDescent="0.25">
      <c r="A655" t="s">
        <v>203</v>
      </c>
      <c r="B655" t="s">
        <v>169</v>
      </c>
      <c r="C655" t="s">
        <v>55</v>
      </c>
      <c r="D655" s="1">
        <v>0.70833333333333337</v>
      </c>
      <c r="E655" s="1">
        <v>0.95833333333333337</v>
      </c>
      <c r="F655">
        <v>26.88</v>
      </c>
      <c r="G655">
        <v>0</v>
      </c>
      <c r="H655">
        <v>6</v>
      </c>
      <c r="K655" t="s">
        <v>42</v>
      </c>
      <c r="L655" t="s">
        <v>57</v>
      </c>
      <c r="M655" s="44" t="str">
        <f t="shared" si="10"/>
        <v>6 hr |</v>
      </c>
    </row>
    <row r="656" spans="1:13" x14ac:dyDescent="0.25">
      <c r="A656" t="s">
        <v>203</v>
      </c>
      <c r="B656" t="s">
        <v>139</v>
      </c>
      <c r="C656" t="s">
        <v>44</v>
      </c>
      <c r="D656" s="1">
        <v>0.70833333333333337</v>
      </c>
      <c r="E656" s="1">
        <v>0.875</v>
      </c>
      <c r="F656">
        <v>27.22</v>
      </c>
      <c r="G656">
        <v>163.32</v>
      </c>
      <c r="H656">
        <v>4</v>
      </c>
      <c r="J656" t="s">
        <v>15</v>
      </c>
      <c r="K656" t="s">
        <v>68</v>
      </c>
      <c r="L656" t="s">
        <v>30</v>
      </c>
      <c r="M656" s="44" t="str">
        <f t="shared" si="10"/>
        <v>4 hr |</v>
      </c>
    </row>
    <row r="657" spans="1:13" x14ac:dyDescent="0.25">
      <c r="A657" t="s">
        <v>203</v>
      </c>
      <c r="B657" t="s">
        <v>159</v>
      </c>
      <c r="C657" t="s">
        <v>14</v>
      </c>
      <c r="D657" s="1">
        <v>0.91666666666666663</v>
      </c>
      <c r="E657" s="1">
        <v>0.29166666666666669</v>
      </c>
      <c r="F657">
        <v>30.5</v>
      </c>
      <c r="G657">
        <v>0</v>
      </c>
      <c r="H657">
        <v>9</v>
      </c>
      <c r="J657" t="s">
        <v>15</v>
      </c>
      <c r="K657" t="s">
        <v>138</v>
      </c>
      <c r="L657" t="s">
        <v>17</v>
      </c>
      <c r="M657" s="44" t="str">
        <f t="shared" si="10"/>
        <v>9 hr |</v>
      </c>
    </row>
    <row r="658" spans="1:13" x14ac:dyDescent="0.25">
      <c r="A658" t="s">
        <v>203</v>
      </c>
      <c r="B658" t="s">
        <v>93</v>
      </c>
      <c r="C658" t="s">
        <v>75</v>
      </c>
      <c r="D658" s="1">
        <v>0.95833333333333337</v>
      </c>
      <c r="E658" s="1">
        <v>0.375</v>
      </c>
      <c r="F658">
        <v>27.22</v>
      </c>
      <c r="G658">
        <v>272.2</v>
      </c>
      <c r="H658">
        <v>10</v>
      </c>
      <c r="K658" t="s">
        <v>94</v>
      </c>
      <c r="L658" t="s">
        <v>30</v>
      </c>
      <c r="M658" s="44" t="str">
        <f t="shared" si="10"/>
        <v>10 hr |</v>
      </c>
    </row>
    <row r="659" spans="1:13" x14ac:dyDescent="0.25">
      <c r="A659" t="s">
        <v>203</v>
      </c>
      <c r="B659" t="s">
        <v>81</v>
      </c>
      <c r="C659" t="s">
        <v>28</v>
      </c>
      <c r="D659" s="1">
        <v>0.95833333333333337</v>
      </c>
      <c r="E659" s="1">
        <v>0.375</v>
      </c>
      <c r="F659">
        <v>26.88</v>
      </c>
      <c r="G659">
        <v>268.8</v>
      </c>
      <c r="H659">
        <v>10</v>
      </c>
      <c r="K659" t="s">
        <v>97</v>
      </c>
      <c r="L659" t="s">
        <v>47</v>
      </c>
      <c r="M659" s="44" t="str">
        <f t="shared" si="10"/>
        <v>10 hr |</v>
      </c>
    </row>
    <row r="660" spans="1:13" x14ac:dyDescent="0.25">
      <c r="A660" t="s">
        <v>203</v>
      </c>
      <c r="B660" t="s">
        <v>141</v>
      </c>
      <c r="C660" t="s">
        <v>32</v>
      </c>
      <c r="D660" s="1">
        <v>0.95833333333333337</v>
      </c>
      <c r="E660" s="1">
        <v>0.375</v>
      </c>
      <c r="F660">
        <v>163.1</v>
      </c>
      <c r="G660">
        <v>0</v>
      </c>
      <c r="H660">
        <v>10</v>
      </c>
      <c r="I660" t="s">
        <v>142</v>
      </c>
      <c r="J660" t="s">
        <v>88</v>
      </c>
      <c r="K660" t="s">
        <v>140</v>
      </c>
      <c r="L660" t="s">
        <v>17</v>
      </c>
      <c r="M660" s="44" t="str">
        <f t="shared" si="10"/>
        <v>shift | 02 - HOURLY-MEDS: 3 hr |</v>
      </c>
    </row>
    <row r="661" spans="1:13" x14ac:dyDescent="0.25">
      <c r="A661" t="s">
        <v>203</v>
      </c>
      <c r="B661" t="s">
        <v>96</v>
      </c>
      <c r="C661" t="s">
        <v>35</v>
      </c>
      <c r="D661" s="1">
        <v>0.95833333333333337</v>
      </c>
      <c r="E661" s="1">
        <v>0.375</v>
      </c>
      <c r="F661">
        <v>26.88</v>
      </c>
      <c r="G661">
        <v>268.8</v>
      </c>
      <c r="H661">
        <v>10</v>
      </c>
      <c r="J661" t="s">
        <v>15</v>
      </c>
      <c r="K661" t="s">
        <v>97</v>
      </c>
      <c r="L661" t="s">
        <v>30</v>
      </c>
      <c r="M661" s="44" t="str">
        <f t="shared" si="10"/>
        <v>10 hr |</v>
      </c>
    </row>
    <row r="662" spans="1:13" x14ac:dyDescent="0.25">
      <c r="A662" t="s">
        <v>203</v>
      </c>
      <c r="B662" t="s">
        <v>64</v>
      </c>
      <c r="C662" t="s">
        <v>150</v>
      </c>
      <c r="D662" s="1">
        <v>0.95833333333333337</v>
      </c>
      <c r="E662" s="1">
        <v>0.375</v>
      </c>
      <c r="F662">
        <v>31.42</v>
      </c>
      <c r="G662">
        <v>0</v>
      </c>
      <c r="H662">
        <v>10</v>
      </c>
      <c r="K662" t="s">
        <v>97</v>
      </c>
      <c r="L662" t="s">
        <v>17</v>
      </c>
      <c r="M662" s="44" t="str">
        <f t="shared" si="10"/>
        <v>10 hr |</v>
      </c>
    </row>
    <row r="663" spans="1:13" x14ac:dyDescent="0.25">
      <c r="A663" t="s">
        <v>203</v>
      </c>
      <c r="B663" t="s">
        <v>61</v>
      </c>
      <c r="C663" t="s">
        <v>32</v>
      </c>
      <c r="D663" s="1">
        <v>0.95833333333333337</v>
      </c>
      <c r="E663" s="1">
        <v>0.375</v>
      </c>
      <c r="F663">
        <v>26.88</v>
      </c>
      <c r="G663">
        <v>0</v>
      </c>
      <c r="H663">
        <v>10</v>
      </c>
      <c r="I663">
        <v>318</v>
      </c>
      <c r="J663" t="s">
        <v>15</v>
      </c>
      <c r="K663" t="s">
        <v>97</v>
      </c>
      <c r="L663" t="s">
        <v>17</v>
      </c>
      <c r="M663" s="44" t="str">
        <f t="shared" si="10"/>
        <v>10 hr |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L75"/>
  <sheetViews>
    <sheetView topLeftCell="A4" zoomScale="53" zoomScaleNormal="53" workbookViewId="0">
      <selection activeCell="G23" sqref="G23"/>
    </sheetView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  <col min="10" max="10" width="27.140625" bestFit="1" customWidth="1"/>
    <col min="11" max="11" width="31.42578125" bestFit="1" customWidth="1"/>
    <col min="12" max="12" width="25.7109375" bestFit="1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205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x14ac:dyDescent="0.25">
      <c r="A14" s="21">
        <v>46097</v>
      </c>
      <c r="B14" s="24" t="s">
        <v>13</v>
      </c>
      <c r="C14" s="24" t="s">
        <v>205</v>
      </c>
      <c r="D14" s="27">
        <v>0.25</v>
      </c>
      <c r="E14" s="27">
        <v>0.41666666666666669</v>
      </c>
      <c r="F14" s="30">
        <v>30.5</v>
      </c>
      <c r="G14" s="33">
        <f>ROUND(H14*F14,2)</f>
        <v>122</v>
      </c>
      <c r="H14" s="24">
        <v>4</v>
      </c>
      <c r="I14" s="24"/>
      <c r="J14" s="24" t="s">
        <v>15</v>
      </c>
      <c r="K14" s="24" t="s">
        <v>16</v>
      </c>
      <c r="L14" s="24" t="s">
        <v>17</v>
      </c>
    </row>
    <row r="15" spans="1:12" ht="21.95" customHeight="1" x14ac:dyDescent="0.25">
      <c r="A15" s="22">
        <v>46098</v>
      </c>
      <c r="B15" s="25" t="s">
        <v>102</v>
      </c>
      <c r="C15" s="25" t="s">
        <v>205</v>
      </c>
      <c r="D15" s="28">
        <v>0.29166666666666669</v>
      </c>
      <c r="E15" s="28">
        <v>0.625</v>
      </c>
      <c r="F15" s="31">
        <v>30.5</v>
      </c>
      <c r="G15" s="34">
        <f>ROUND(H15*F15,2)</f>
        <v>244</v>
      </c>
      <c r="H15" s="25">
        <v>8</v>
      </c>
      <c r="I15" s="25"/>
      <c r="J15" s="25" t="s">
        <v>15</v>
      </c>
      <c r="K15" s="25" t="s">
        <v>20</v>
      </c>
      <c r="L15" s="25" t="s">
        <v>17</v>
      </c>
    </row>
    <row r="16" spans="1:12" ht="21.95" customHeight="1" x14ac:dyDescent="0.25">
      <c r="A16" s="22">
        <v>46099</v>
      </c>
      <c r="B16" s="25" t="s">
        <v>13</v>
      </c>
      <c r="C16" s="25" t="s">
        <v>205</v>
      </c>
      <c r="D16" s="28">
        <v>0.95833333333333337</v>
      </c>
      <c r="E16" s="28">
        <v>0.29166666666666669</v>
      </c>
      <c r="F16" s="31">
        <v>30.5</v>
      </c>
      <c r="G16" s="34">
        <f>ROUND(H16*F16,2)</f>
        <v>244</v>
      </c>
      <c r="H16" s="25">
        <v>8</v>
      </c>
      <c r="I16" s="25"/>
      <c r="J16" s="25" t="s">
        <v>15</v>
      </c>
      <c r="K16" s="25" t="s">
        <v>20</v>
      </c>
      <c r="L16" s="25" t="s">
        <v>132</v>
      </c>
    </row>
    <row r="17" spans="1:12" ht="21.95" customHeight="1" x14ac:dyDescent="0.25">
      <c r="A17" s="22">
        <v>46099</v>
      </c>
      <c r="B17" s="25" t="s">
        <v>131</v>
      </c>
      <c r="C17" s="25" t="s">
        <v>205</v>
      </c>
      <c r="D17" s="28">
        <v>0.625</v>
      </c>
      <c r="E17" s="28">
        <v>0.95833333333333337</v>
      </c>
      <c r="F17" s="31">
        <v>30.5</v>
      </c>
      <c r="G17" s="34">
        <f>ROUND(H17*F17,2)</f>
        <v>244</v>
      </c>
      <c r="H17" s="25">
        <v>8</v>
      </c>
      <c r="I17" s="25"/>
      <c r="J17" s="25" t="s">
        <v>15</v>
      </c>
      <c r="K17" s="25" t="s">
        <v>20</v>
      </c>
      <c r="L17" s="25" t="s">
        <v>132</v>
      </c>
    </row>
    <row r="18" spans="1:12" ht="21.95" customHeight="1" x14ac:dyDescent="0.25">
      <c r="A18" s="22">
        <v>46099</v>
      </c>
      <c r="B18" s="25" t="s">
        <v>105</v>
      </c>
      <c r="C18" s="25" t="s">
        <v>205</v>
      </c>
      <c r="D18" s="28">
        <v>0.25</v>
      </c>
      <c r="E18" s="28">
        <v>0.41666666666666669</v>
      </c>
      <c r="F18" s="31">
        <v>30.5</v>
      </c>
      <c r="G18" s="34">
        <f>ROUND(H18*F18,2)</f>
        <v>122</v>
      </c>
      <c r="H18" s="25">
        <v>4</v>
      </c>
      <c r="I18" s="25"/>
      <c r="J18" s="25" t="s">
        <v>15</v>
      </c>
      <c r="K18" s="25" t="s">
        <v>16</v>
      </c>
      <c r="L18" s="25" t="s">
        <v>17</v>
      </c>
    </row>
    <row r="19" spans="1:12" ht="21.95" customHeight="1" x14ac:dyDescent="0.25">
      <c r="A19" s="22">
        <v>46100</v>
      </c>
      <c r="B19" s="25" t="s">
        <v>102</v>
      </c>
      <c r="C19" s="25" t="s">
        <v>205</v>
      </c>
      <c r="D19" s="28">
        <v>0.29166666666666669</v>
      </c>
      <c r="E19" s="28">
        <v>0.625</v>
      </c>
      <c r="F19" s="31">
        <v>30.5</v>
      </c>
      <c r="G19" s="34">
        <f>ROUND(H19*F19,2)</f>
        <v>244</v>
      </c>
      <c r="H19" s="25">
        <v>8</v>
      </c>
      <c r="I19" s="25"/>
      <c r="J19" s="25" t="s">
        <v>15</v>
      </c>
      <c r="K19" s="25" t="s">
        <v>20</v>
      </c>
      <c r="L19" s="25" t="s">
        <v>17</v>
      </c>
    </row>
    <row r="20" spans="1:12" ht="21.95" customHeight="1" x14ac:dyDescent="0.25">
      <c r="A20" s="22">
        <v>46100</v>
      </c>
      <c r="B20" s="25" t="s">
        <v>13</v>
      </c>
      <c r="C20" s="25" t="s">
        <v>205</v>
      </c>
      <c r="D20" s="28">
        <v>0.625</v>
      </c>
      <c r="E20" s="28">
        <v>0.95833333333333337</v>
      </c>
      <c r="F20" s="31">
        <v>30.5</v>
      </c>
      <c r="G20" s="34">
        <f>ROUND(H20*F20,2)</f>
        <v>244</v>
      </c>
      <c r="H20" s="25">
        <v>8</v>
      </c>
      <c r="I20" s="25"/>
      <c r="J20" s="25" t="s">
        <v>15</v>
      </c>
      <c r="K20" s="25" t="s">
        <v>20</v>
      </c>
      <c r="L20" s="25" t="s">
        <v>47</v>
      </c>
    </row>
    <row r="21" spans="1:12" ht="21.95" customHeight="1" x14ac:dyDescent="0.25">
      <c r="A21" s="22">
        <v>46100</v>
      </c>
      <c r="B21" s="25" t="s">
        <v>131</v>
      </c>
      <c r="C21" s="25" t="s">
        <v>205</v>
      </c>
      <c r="D21" s="28">
        <v>0.91666666666666663</v>
      </c>
      <c r="E21" s="28">
        <v>0.29166666666666669</v>
      </c>
      <c r="F21" s="31">
        <v>30.5</v>
      </c>
      <c r="G21" s="34">
        <f>ROUND(H21*F21,2)</f>
        <v>274.5</v>
      </c>
      <c r="H21" s="25">
        <v>9</v>
      </c>
      <c r="I21" s="25"/>
      <c r="J21" s="25" t="s">
        <v>15</v>
      </c>
      <c r="K21" s="25" t="s">
        <v>138</v>
      </c>
      <c r="L21" s="25" t="s">
        <v>17</v>
      </c>
    </row>
    <row r="22" spans="1:12" ht="21.95" customHeight="1" x14ac:dyDescent="0.25">
      <c r="A22" s="22">
        <v>46101</v>
      </c>
      <c r="B22" s="25" t="s">
        <v>102</v>
      </c>
      <c r="C22" s="25" t="s">
        <v>205</v>
      </c>
      <c r="D22" s="28">
        <v>0.29166666666666669</v>
      </c>
      <c r="E22" s="28">
        <v>0.625</v>
      </c>
      <c r="F22" s="31">
        <v>30.5</v>
      </c>
      <c r="G22" s="34">
        <f>ROUND(H22*F22,2)</f>
        <v>244</v>
      </c>
      <c r="H22" s="25">
        <v>8</v>
      </c>
      <c r="I22" s="25"/>
      <c r="J22" s="25" t="s">
        <v>15</v>
      </c>
      <c r="K22" s="25" t="s">
        <v>20</v>
      </c>
      <c r="L22" s="25" t="s">
        <v>17</v>
      </c>
    </row>
    <row r="23" spans="1:12" ht="21.95" customHeight="1" x14ac:dyDescent="0.25">
      <c r="A23" s="22">
        <v>46101</v>
      </c>
      <c r="B23" s="25" t="s">
        <v>13</v>
      </c>
      <c r="C23" s="25" t="s">
        <v>205</v>
      </c>
      <c r="D23" s="28">
        <v>0.625</v>
      </c>
      <c r="E23" s="28">
        <v>0.97569444444444442</v>
      </c>
      <c r="F23" s="31">
        <v>30.5</v>
      </c>
      <c r="G23" s="34">
        <f>ROUND(H23*F23,2)</f>
        <v>256.81</v>
      </c>
      <c r="H23" s="25">
        <v>8.42</v>
      </c>
      <c r="I23" s="25"/>
      <c r="J23" s="25" t="s">
        <v>15</v>
      </c>
      <c r="K23" s="25" t="s">
        <v>147</v>
      </c>
      <c r="L23" s="25" t="s">
        <v>47</v>
      </c>
    </row>
    <row r="24" spans="1:12" ht="21.95" customHeight="1" x14ac:dyDescent="0.25">
      <c r="A24" s="22">
        <v>46101</v>
      </c>
      <c r="B24" s="25" t="s">
        <v>105</v>
      </c>
      <c r="C24" s="25" t="s">
        <v>205</v>
      </c>
      <c r="D24" s="28">
        <v>0.25</v>
      </c>
      <c r="E24" s="28">
        <v>0.41666666666666669</v>
      </c>
      <c r="F24" s="31">
        <v>30.5</v>
      </c>
      <c r="G24" s="34">
        <f>ROUND(H24*F24,2)</f>
        <v>122</v>
      </c>
      <c r="H24" s="25">
        <v>4</v>
      </c>
      <c r="I24" s="25"/>
      <c r="J24" s="25" t="s">
        <v>15</v>
      </c>
      <c r="K24" s="25" t="s">
        <v>16</v>
      </c>
      <c r="L24" s="25" t="s">
        <v>17</v>
      </c>
    </row>
    <row r="25" spans="1:12" ht="21.95" customHeight="1" x14ac:dyDescent="0.25">
      <c r="A25" s="22">
        <v>46102</v>
      </c>
      <c r="B25" s="25" t="s">
        <v>102</v>
      </c>
      <c r="C25" s="25" t="s">
        <v>205</v>
      </c>
      <c r="D25" s="28">
        <v>0.625</v>
      </c>
      <c r="E25" s="28">
        <v>0.875</v>
      </c>
      <c r="F25" s="31">
        <v>30.5</v>
      </c>
      <c r="G25" s="34">
        <f>ROUND(H25*F25,2)</f>
        <v>183</v>
      </c>
      <c r="H25" s="25">
        <v>6</v>
      </c>
      <c r="I25" s="25"/>
      <c r="J25" s="25" t="s">
        <v>15</v>
      </c>
      <c r="K25" s="25" t="s">
        <v>42</v>
      </c>
      <c r="L25" s="25" t="s">
        <v>47</v>
      </c>
    </row>
    <row r="26" spans="1:12" ht="21.95" customHeight="1" x14ac:dyDescent="0.25">
      <c r="A26" s="22">
        <v>46102</v>
      </c>
      <c r="B26" s="25" t="s">
        <v>159</v>
      </c>
      <c r="C26" s="25" t="s">
        <v>205</v>
      </c>
      <c r="D26" s="28">
        <v>0.58333333333333337</v>
      </c>
      <c r="E26" s="28">
        <v>0.91666666666666663</v>
      </c>
      <c r="F26" s="31">
        <v>30.5</v>
      </c>
      <c r="G26" s="34">
        <f>ROUND(H26*F26,2)</f>
        <v>244</v>
      </c>
      <c r="H26" s="25">
        <v>8</v>
      </c>
      <c r="I26" s="25"/>
      <c r="J26" s="25" t="s">
        <v>15</v>
      </c>
      <c r="K26" s="25" t="s">
        <v>20</v>
      </c>
      <c r="L26" s="25" t="s">
        <v>47</v>
      </c>
    </row>
    <row r="27" spans="1:12" ht="21.95" customHeight="1" x14ac:dyDescent="0.25">
      <c r="A27" s="22">
        <v>46102</v>
      </c>
      <c r="B27" s="25" t="s">
        <v>105</v>
      </c>
      <c r="C27" s="25" t="s">
        <v>205</v>
      </c>
      <c r="D27" s="28">
        <v>0.91666666666666663</v>
      </c>
      <c r="E27" s="28">
        <v>0.29166666666666669</v>
      </c>
      <c r="F27" s="31">
        <v>30.5</v>
      </c>
      <c r="G27" s="34">
        <f>ROUND(H27*F27,2)</f>
        <v>274.5</v>
      </c>
      <c r="H27" s="25">
        <v>9</v>
      </c>
      <c r="I27" s="25"/>
      <c r="J27" s="25" t="s">
        <v>15</v>
      </c>
      <c r="K27" s="25" t="s">
        <v>138</v>
      </c>
      <c r="L27" s="25" t="s">
        <v>30</v>
      </c>
    </row>
    <row r="28" spans="1:12" ht="21.95" customHeight="1" x14ac:dyDescent="0.25">
      <c r="A28" s="22">
        <v>46103</v>
      </c>
      <c r="B28" s="25" t="s">
        <v>159</v>
      </c>
      <c r="C28" s="25" t="s">
        <v>205</v>
      </c>
      <c r="D28" s="28">
        <v>0.625</v>
      </c>
      <c r="E28" s="28">
        <v>0.95833333333333337</v>
      </c>
      <c r="F28" s="31">
        <v>30.5</v>
      </c>
      <c r="G28" s="34">
        <f>ROUND(H28*F28,2)</f>
        <v>244</v>
      </c>
      <c r="H28" s="25">
        <v>8</v>
      </c>
      <c r="I28" s="25"/>
      <c r="J28" s="25" t="s">
        <v>15</v>
      </c>
      <c r="K28" s="25" t="s">
        <v>20</v>
      </c>
      <c r="L28" s="25" t="s">
        <v>47</v>
      </c>
    </row>
    <row r="29" spans="1:12" ht="21.95" customHeight="1" x14ac:dyDescent="0.25">
      <c r="A29" s="22">
        <v>46103</v>
      </c>
      <c r="B29" s="25" t="s">
        <v>40</v>
      </c>
      <c r="C29" s="25" t="s">
        <v>205</v>
      </c>
      <c r="D29" s="28">
        <v>0.29166666666666669</v>
      </c>
      <c r="E29" s="28">
        <v>0.625</v>
      </c>
      <c r="F29" s="31">
        <v>30.5</v>
      </c>
      <c r="G29" s="34">
        <f>ROUND(H29*F29,2)</f>
        <v>244</v>
      </c>
      <c r="H29" s="25">
        <v>8</v>
      </c>
      <c r="I29" s="25"/>
      <c r="J29" s="25" t="s">
        <v>15</v>
      </c>
      <c r="K29" s="25" t="s">
        <v>20</v>
      </c>
      <c r="L29" s="25" t="s">
        <v>47</v>
      </c>
    </row>
    <row r="30" spans="1:12" ht="21.95" customHeight="1" x14ac:dyDescent="0.25">
      <c r="A30" s="22">
        <v>46103</v>
      </c>
      <c r="B30" s="25" t="s">
        <v>13</v>
      </c>
      <c r="C30" s="25" t="s">
        <v>205</v>
      </c>
      <c r="D30" s="28">
        <v>0.29166666666666669</v>
      </c>
      <c r="E30" s="28">
        <v>0.625</v>
      </c>
      <c r="F30" s="31">
        <v>30.5</v>
      </c>
      <c r="G30" s="34">
        <f>ROUND(H30*F30,2)</f>
        <v>244</v>
      </c>
      <c r="H30" s="25">
        <v>8</v>
      </c>
      <c r="I30" s="25"/>
      <c r="J30" s="25" t="s">
        <v>15</v>
      </c>
      <c r="K30" s="25" t="s">
        <v>20</v>
      </c>
      <c r="L30" s="25" t="s">
        <v>47</v>
      </c>
    </row>
    <row r="31" spans="1:12" ht="21.95" customHeight="1" x14ac:dyDescent="0.25">
      <c r="A31" s="22">
        <v>46103</v>
      </c>
      <c r="B31" s="25" t="s">
        <v>131</v>
      </c>
      <c r="C31" s="25" t="s">
        <v>205</v>
      </c>
      <c r="D31" s="28">
        <v>0.66666666666666663</v>
      </c>
      <c r="E31" s="28">
        <v>0.91666666666666663</v>
      </c>
      <c r="F31" s="31">
        <v>30.5</v>
      </c>
      <c r="G31" s="34">
        <f>ROUND(H31*F31,2)</f>
        <v>183</v>
      </c>
      <c r="H31" s="25">
        <v>6</v>
      </c>
      <c r="I31" s="25"/>
      <c r="J31" s="25" t="s">
        <v>15</v>
      </c>
      <c r="K31" s="25" t="s">
        <v>42</v>
      </c>
      <c r="L31" s="25" t="s">
        <v>47</v>
      </c>
    </row>
    <row r="32" spans="1:12" ht="21.95" customHeight="1" x14ac:dyDescent="0.25">
      <c r="A32" s="22">
        <v>46104</v>
      </c>
      <c r="B32" s="25" t="s">
        <v>102</v>
      </c>
      <c r="C32" s="25" t="s">
        <v>205</v>
      </c>
      <c r="D32" s="28">
        <v>0.625</v>
      </c>
      <c r="E32" s="28">
        <v>0.95833333333333337</v>
      </c>
      <c r="F32" s="31">
        <v>30.5</v>
      </c>
      <c r="G32" s="34">
        <f>ROUND(H32*F32,2)</f>
        <v>244</v>
      </c>
      <c r="H32" s="25">
        <v>8</v>
      </c>
      <c r="I32" s="25"/>
      <c r="J32" s="25" t="s">
        <v>15</v>
      </c>
      <c r="K32" s="25" t="s">
        <v>20</v>
      </c>
      <c r="L32" s="25" t="s">
        <v>47</v>
      </c>
    </row>
    <row r="33" spans="1:12" ht="21.95" customHeight="1" x14ac:dyDescent="0.25">
      <c r="A33" s="22">
        <v>46104</v>
      </c>
      <c r="B33" s="25" t="s">
        <v>13</v>
      </c>
      <c r="C33" s="25" t="s">
        <v>205</v>
      </c>
      <c r="D33" s="28">
        <v>0.25</v>
      </c>
      <c r="E33" s="28">
        <v>0.41666666666666669</v>
      </c>
      <c r="F33" s="31">
        <v>30.5</v>
      </c>
      <c r="G33" s="34">
        <f>ROUND(H33*F33,2)</f>
        <v>122</v>
      </c>
      <c r="H33" s="25">
        <v>4</v>
      </c>
      <c r="I33" s="25"/>
      <c r="J33" s="25" t="s">
        <v>15</v>
      </c>
      <c r="K33" s="25" t="s">
        <v>16</v>
      </c>
      <c r="L33" s="25" t="s">
        <v>47</v>
      </c>
    </row>
    <row r="34" spans="1:12" ht="21.95" customHeight="1" x14ac:dyDescent="0.25">
      <c r="A34" s="22">
        <v>46104</v>
      </c>
      <c r="B34" s="25" t="s">
        <v>13</v>
      </c>
      <c r="C34" s="25" t="s">
        <v>205</v>
      </c>
      <c r="D34" s="28">
        <v>0.95833333333333337</v>
      </c>
      <c r="E34" s="28">
        <v>0.29166666666666669</v>
      </c>
      <c r="F34" s="31">
        <v>30.5</v>
      </c>
      <c r="G34" s="34">
        <f>ROUND(H34*F34,2)</f>
        <v>244</v>
      </c>
      <c r="H34" s="25">
        <v>8</v>
      </c>
      <c r="I34" s="25"/>
      <c r="J34" s="25" t="s">
        <v>15</v>
      </c>
      <c r="K34" s="25" t="s">
        <v>20</v>
      </c>
      <c r="L34" s="25" t="s">
        <v>17</v>
      </c>
    </row>
    <row r="35" spans="1:12" ht="21.95" customHeight="1" x14ac:dyDescent="0.25">
      <c r="A35" s="22">
        <v>46104</v>
      </c>
      <c r="B35" s="25" t="s">
        <v>131</v>
      </c>
      <c r="C35" s="25" t="s">
        <v>205</v>
      </c>
      <c r="D35" s="28">
        <v>0.625</v>
      </c>
      <c r="E35" s="28">
        <v>0.95833333333333337</v>
      </c>
      <c r="F35" s="31">
        <v>30.5</v>
      </c>
      <c r="G35" s="34">
        <f>ROUND(H35*F35,2)</f>
        <v>244</v>
      </c>
      <c r="H35" s="25">
        <v>8</v>
      </c>
      <c r="I35" s="25"/>
      <c r="J35" s="25" t="s">
        <v>15</v>
      </c>
      <c r="K35" s="25" t="s">
        <v>20</v>
      </c>
      <c r="L35" s="25" t="s">
        <v>17</v>
      </c>
    </row>
    <row r="36" spans="1:12" ht="21.95" customHeight="1" x14ac:dyDescent="0.25">
      <c r="A36" s="22">
        <v>46104</v>
      </c>
      <c r="B36" s="25" t="s">
        <v>131</v>
      </c>
      <c r="C36" s="25" t="s">
        <v>205</v>
      </c>
      <c r="D36" s="28">
        <v>0.95833333333333337</v>
      </c>
      <c r="E36" s="28">
        <v>0.29166666666666669</v>
      </c>
      <c r="F36" s="31">
        <v>30.5</v>
      </c>
      <c r="G36" s="34">
        <f>ROUND(H36*F36,2)</f>
        <v>244</v>
      </c>
      <c r="H36" s="25">
        <v>8</v>
      </c>
      <c r="I36" s="25"/>
      <c r="J36" s="25" t="s">
        <v>15</v>
      </c>
      <c r="K36" s="25" t="s">
        <v>20</v>
      </c>
      <c r="L36" s="25" t="s">
        <v>47</v>
      </c>
    </row>
    <row r="37" spans="1:12" ht="21.95" customHeight="1" x14ac:dyDescent="0.25">
      <c r="A37" s="22">
        <v>46105</v>
      </c>
      <c r="B37" s="25" t="s">
        <v>102</v>
      </c>
      <c r="C37" s="25" t="s">
        <v>205</v>
      </c>
      <c r="D37" s="28">
        <v>0.41666666666666669</v>
      </c>
      <c r="E37" s="28">
        <v>0.95833333333333337</v>
      </c>
      <c r="F37" s="31">
        <v>30.5</v>
      </c>
      <c r="G37" s="34">
        <f>ROUND(H37*F37,2)</f>
        <v>396.5</v>
      </c>
      <c r="H37" s="25">
        <v>13</v>
      </c>
      <c r="I37" s="25"/>
      <c r="J37" s="25" t="s">
        <v>15</v>
      </c>
      <c r="K37" s="25" t="s">
        <v>167</v>
      </c>
      <c r="L37" s="25" t="s">
        <v>47</v>
      </c>
    </row>
    <row r="38" spans="1:12" ht="21.95" customHeight="1" x14ac:dyDescent="0.25">
      <c r="A38" s="22">
        <v>46105</v>
      </c>
      <c r="B38" s="25" t="s">
        <v>13</v>
      </c>
      <c r="C38" s="25" t="s">
        <v>205</v>
      </c>
      <c r="D38" s="28">
        <v>0.95833333333333337</v>
      </c>
      <c r="E38" s="28">
        <v>0.29166666666666669</v>
      </c>
      <c r="F38" s="31">
        <v>30.5</v>
      </c>
      <c r="G38" s="34">
        <f>ROUND(H38*F38,2)</f>
        <v>244</v>
      </c>
      <c r="H38" s="25">
        <v>8</v>
      </c>
      <c r="I38" s="25"/>
      <c r="J38" s="25" t="s">
        <v>15</v>
      </c>
      <c r="K38" s="25" t="s">
        <v>20</v>
      </c>
      <c r="L38" s="25" t="s">
        <v>47</v>
      </c>
    </row>
    <row r="39" spans="1:12" ht="21.95" customHeight="1" x14ac:dyDescent="0.25">
      <c r="A39" s="22">
        <v>46105</v>
      </c>
      <c r="B39" s="25" t="s">
        <v>131</v>
      </c>
      <c r="C39" s="25" t="s">
        <v>205</v>
      </c>
      <c r="D39" s="28">
        <v>0.625</v>
      </c>
      <c r="E39" s="28">
        <v>0.95833333333333337</v>
      </c>
      <c r="F39" s="31">
        <v>30.5</v>
      </c>
      <c r="G39" s="34">
        <f>ROUND(H39*F39,2)</f>
        <v>244</v>
      </c>
      <c r="H39" s="25">
        <v>8</v>
      </c>
      <c r="I39" s="25"/>
      <c r="J39" s="25" t="s">
        <v>15</v>
      </c>
      <c r="K39" s="25" t="s">
        <v>20</v>
      </c>
      <c r="L39" s="25" t="s">
        <v>23</v>
      </c>
    </row>
    <row r="40" spans="1:12" ht="21.95" customHeight="1" x14ac:dyDescent="0.25">
      <c r="A40" s="22">
        <v>46106</v>
      </c>
      <c r="B40" s="25" t="s">
        <v>102</v>
      </c>
      <c r="C40" s="25" t="s">
        <v>205</v>
      </c>
      <c r="D40" s="28">
        <v>0.625</v>
      </c>
      <c r="E40" s="28">
        <v>0.95833333333333337</v>
      </c>
      <c r="F40" s="31">
        <v>30.5</v>
      </c>
      <c r="G40" s="34">
        <f>ROUND(H40*F40,2)</f>
        <v>244</v>
      </c>
      <c r="H40" s="25">
        <v>8</v>
      </c>
      <c r="I40" s="25"/>
      <c r="J40" s="25" t="s">
        <v>15</v>
      </c>
      <c r="K40" s="25" t="s">
        <v>20</v>
      </c>
      <c r="L40" s="25" t="s">
        <v>47</v>
      </c>
    </row>
    <row r="41" spans="1:12" ht="21.95" customHeight="1" x14ac:dyDescent="0.25">
      <c r="A41" s="22">
        <v>46106</v>
      </c>
      <c r="B41" s="25" t="s">
        <v>13</v>
      </c>
      <c r="C41" s="25" t="s">
        <v>205</v>
      </c>
      <c r="D41" s="28">
        <v>0.25</v>
      </c>
      <c r="E41" s="28">
        <v>0.41666666666666669</v>
      </c>
      <c r="F41" s="31">
        <v>30.5</v>
      </c>
      <c r="G41" s="34">
        <f>ROUND(H41*F41,2)</f>
        <v>122</v>
      </c>
      <c r="H41" s="25">
        <v>4</v>
      </c>
      <c r="I41" s="25"/>
      <c r="J41" s="25" t="s">
        <v>15</v>
      </c>
      <c r="K41" s="25" t="s">
        <v>16</v>
      </c>
      <c r="L41" s="25" t="s">
        <v>30</v>
      </c>
    </row>
    <row r="42" spans="1:12" ht="21.95" customHeight="1" x14ac:dyDescent="0.25">
      <c r="A42" s="22">
        <v>46106</v>
      </c>
      <c r="B42" s="25" t="s">
        <v>131</v>
      </c>
      <c r="C42" s="25" t="s">
        <v>205</v>
      </c>
      <c r="D42" s="28">
        <v>0.95833333333333337</v>
      </c>
      <c r="E42" s="28">
        <v>0.29166666666666669</v>
      </c>
      <c r="F42" s="31">
        <v>30.5</v>
      </c>
      <c r="G42" s="34">
        <f>ROUND(H42*F42,2)</f>
        <v>244</v>
      </c>
      <c r="H42" s="25">
        <v>8</v>
      </c>
      <c r="I42" s="25"/>
      <c r="J42" s="25" t="s">
        <v>15</v>
      </c>
      <c r="K42" s="25" t="s">
        <v>20</v>
      </c>
      <c r="L42" s="25" t="s">
        <v>47</v>
      </c>
    </row>
    <row r="43" spans="1:12" ht="21.95" customHeight="1" x14ac:dyDescent="0.25">
      <c r="A43" s="22">
        <v>46107</v>
      </c>
      <c r="B43" s="25" t="s">
        <v>102</v>
      </c>
      <c r="C43" s="25" t="s">
        <v>205</v>
      </c>
      <c r="D43" s="28">
        <v>0.625</v>
      </c>
      <c r="E43" s="28">
        <v>0.95833333333333337</v>
      </c>
      <c r="F43" s="31">
        <v>30.5</v>
      </c>
      <c r="G43" s="34">
        <f>ROUND(H43*F43,2)</f>
        <v>244</v>
      </c>
      <c r="H43" s="25">
        <v>8</v>
      </c>
      <c r="I43" s="25"/>
      <c r="J43" s="25" t="s">
        <v>15</v>
      </c>
      <c r="K43" s="25" t="s">
        <v>20</v>
      </c>
      <c r="L43" s="25" t="s">
        <v>47</v>
      </c>
    </row>
    <row r="44" spans="1:12" ht="21.95" customHeight="1" x14ac:dyDescent="0.25">
      <c r="A44" s="22">
        <v>46107</v>
      </c>
      <c r="B44" s="25" t="s">
        <v>159</v>
      </c>
      <c r="C44" s="25" t="s">
        <v>205</v>
      </c>
      <c r="D44" s="28">
        <v>0.95833333333333337</v>
      </c>
      <c r="E44" s="28">
        <v>0.29166666666666669</v>
      </c>
      <c r="F44" s="31">
        <v>30.5</v>
      </c>
      <c r="G44" s="34">
        <f>ROUND(H44*F44,2)</f>
        <v>244</v>
      </c>
      <c r="H44" s="25">
        <v>8</v>
      </c>
      <c r="I44" s="25"/>
      <c r="J44" s="25" t="s">
        <v>15</v>
      </c>
      <c r="K44" s="25" t="s">
        <v>20</v>
      </c>
      <c r="L44" s="25" t="s">
        <v>47</v>
      </c>
    </row>
    <row r="45" spans="1:12" ht="21.95" customHeight="1" x14ac:dyDescent="0.25">
      <c r="A45" s="22">
        <v>46107</v>
      </c>
      <c r="B45" s="25" t="s">
        <v>13</v>
      </c>
      <c r="C45" s="25" t="s">
        <v>205</v>
      </c>
      <c r="D45" s="28">
        <v>0.64583333333333337</v>
      </c>
      <c r="E45" s="28">
        <v>0.95833333333333337</v>
      </c>
      <c r="F45" s="31">
        <v>30.5</v>
      </c>
      <c r="G45" s="34">
        <f>ROUND(H45*F45,2)</f>
        <v>228.75</v>
      </c>
      <c r="H45" s="25">
        <v>7.5</v>
      </c>
      <c r="I45" s="25"/>
      <c r="J45" s="25" t="s">
        <v>15</v>
      </c>
      <c r="K45" s="25" t="s">
        <v>39</v>
      </c>
      <c r="L45" s="25" t="s">
        <v>47</v>
      </c>
    </row>
    <row r="46" spans="1:12" ht="21.95" customHeight="1" x14ac:dyDescent="0.25">
      <c r="A46" s="22">
        <v>46107</v>
      </c>
      <c r="B46" s="25" t="s">
        <v>131</v>
      </c>
      <c r="C46" s="25" t="s">
        <v>205</v>
      </c>
      <c r="D46" s="28">
        <v>0.625</v>
      </c>
      <c r="E46" s="28">
        <v>0.95833333333333337</v>
      </c>
      <c r="F46" s="31">
        <v>30.5</v>
      </c>
      <c r="G46" s="34">
        <f>ROUND(H46*F46,2)</f>
        <v>244</v>
      </c>
      <c r="H46" s="25">
        <v>8</v>
      </c>
      <c r="I46" s="25"/>
      <c r="J46" s="25" t="s">
        <v>15</v>
      </c>
      <c r="K46" s="25" t="s">
        <v>20</v>
      </c>
      <c r="L46" s="25" t="s">
        <v>47</v>
      </c>
    </row>
    <row r="47" spans="1:12" ht="21.95" customHeight="1" x14ac:dyDescent="0.25">
      <c r="A47" s="22">
        <v>46107</v>
      </c>
      <c r="B47" s="25" t="s">
        <v>131</v>
      </c>
      <c r="C47" s="25" t="s">
        <v>205</v>
      </c>
      <c r="D47" s="28">
        <v>0.95833333333333337</v>
      </c>
      <c r="E47" s="28">
        <v>0.29166666666666669</v>
      </c>
      <c r="F47" s="31">
        <v>30.5</v>
      </c>
      <c r="G47" s="34">
        <f>ROUND(H47*F47,2)</f>
        <v>244</v>
      </c>
      <c r="H47" s="25">
        <v>8</v>
      </c>
      <c r="I47" s="25"/>
      <c r="J47" s="25" t="s">
        <v>15</v>
      </c>
      <c r="K47" s="25" t="s">
        <v>20</v>
      </c>
      <c r="L47" s="25" t="s">
        <v>47</v>
      </c>
    </row>
    <row r="48" spans="1:12" ht="21.95" customHeight="1" x14ac:dyDescent="0.25">
      <c r="A48" s="22">
        <v>46108</v>
      </c>
      <c r="B48" s="25" t="s">
        <v>102</v>
      </c>
      <c r="C48" s="25" t="s">
        <v>205</v>
      </c>
      <c r="D48" s="28">
        <v>0.625</v>
      </c>
      <c r="E48" s="28">
        <v>0.95833333333333337</v>
      </c>
      <c r="F48" s="31">
        <v>30.5</v>
      </c>
      <c r="G48" s="34">
        <f>ROUND(H48*F48,2)</f>
        <v>244</v>
      </c>
      <c r="H48" s="25">
        <v>8</v>
      </c>
      <c r="I48" s="25"/>
      <c r="J48" s="25" t="s">
        <v>15</v>
      </c>
      <c r="K48" s="25" t="s">
        <v>20</v>
      </c>
      <c r="L48" s="25" t="s">
        <v>47</v>
      </c>
    </row>
    <row r="49" spans="1:12" ht="21.95" customHeight="1" x14ac:dyDescent="0.25">
      <c r="A49" s="22">
        <v>46108</v>
      </c>
      <c r="B49" s="25" t="s">
        <v>13</v>
      </c>
      <c r="C49" s="25" t="s">
        <v>205</v>
      </c>
      <c r="D49" s="28">
        <v>0.25</v>
      </c>
      <c r="E49" s="28">
        <v>0.41666666666666669</v>
      </c>
      <c r="F49" s="31">
        <v>30.5</v>
      </c>
      <c r="G49" s="34">
        <f>ROUND(H49*F49,2)</f>
        <v>122</v>
      </c>
      <c r="H49" s="25">
        <v>4</v>
      </c>
      <c r="I49" s="25"/>
      <c r="J49" s="25" t="s">
        <v>15</v>
      </c>
      <c r="K49" s="25" t="s">
        <v>16</v>
      </c>
      <c r="L49" s="25" t="s">
        <v>47</v>
      </c>
    </row>
    <row r="50" spans="1:12" ht="21.95" customHeight="1" x14ac:dyDescent="0.25">
      <c r="A50" s="22">
        <v>46108</v>
      </c>
      <c r="B50" s="25" t="s">
        <v>131</v>
      </c>
      <c r="C50" s="25" t="s">
        <v>205</v>
      </c>
      <c r="D50" s="28">
        <v>0.625</v>
      </c>
      <c r="E50" s="28">
        <v>0.95833333333333337</v>
      </c>
      <c r="F50" s="31">
        <v>30.5</v>
      </c>
      <c r="G50" s="34">
        <f>ROUND(H50*F50,2)</f>
        <v>244</v>
      </c>
      <c r="H50" s="25">
        <v>8</v>
      </c>
      <c r="I50" s="25"/>
      <c r="J50" s="25" t="s">
        <v>15</v>
      </c>
      <c r="K50" s="25" t="s">
        <v>20</v>
      </c>
      <c r="L50" s="25" t="s">
        <v>47</v>
      </c>
    </row>
    <row r="51" spans="1:12" ht="21.95" customHeight="1" x14ac:dyDescent="0.25">
      <c r="A51" s="22">
        <v>46109</v>
      </c>
      <c r="B51" s="25" t="s">
        <v>102</v>
      </c>
      <c r="C51" s="25" t="s">
        <v>205</v>
      </c>
      <c r="D51" s="28">
        <v>0.29166666666666669</v>
      </c>
      <c r="E51" s="28">
        <v>0.625</v>
      </c>
      <c r="F51" s="31">
        <v>30.5</v>
      </c>
      <c r="G51" s="34">
        <f>ROUND(H51*F51,2)</f>
        <v>244</v>
      </c>
      <c r="H51" s="25">
        <v>8</v>
      </c>
      <c r="I51" s="25"/>
      <c r="J51" s="25" t="s">
        <v>15</v>
      </c>
      <c r="K51" s="25" t="s">
        <v>20</v>
      </c>
      <c r="L51" s="25" t="s">
        <v>47</v>
      </c>
    </row>
    <row r="52" spans="1:12" ht="21.95" customHeight="1" x14ac:dyDescent="0.25">
      <c r="A52" s="22">
        <v>46109</v>
      </c>
      <c r="B52" s="25" t="s">
        <v>159</v>
      </c>
      <c r="C52" s="25" t="s">
        <v>205</v>
      </c>
      <c r="D52" s="28">
        <v>0.58333333333333337</v>
      </c>
      <c r="E52" s="28">
        <v>0.91666666666666663</v>
      </c>
      <c r="F52" s="31">
        <v>30.5</v>
      </c>
      <c r="G52" s="34">
        <f>ROUND(H52*F52,2)</f>
        <v>244</v>
      </c>
      <c r="H52" s="25">
        <v>8</v>
      </c>
      <c r="I52" s="25"/>
      <c r="J52" s="25" t="s">
        <v>15</v>
      </c>
      <c r="K52" s="25" t="s">
        <v>20</v>
      </c>
      <c r="L52" s="25" t="s">
        <v>47</v>
      </c>
    </row>
    <row r="53" spans="1:12" ht="21.95" customHeight="1" x14ac:dyDescent="0.25">
      <c r="A53" s="22">
        <v>46109</v>
      </c>
      <c r="B53" s="25" t="s">
        <v>13</v>
      </c>
      <c r="C53" s="25" t="s">
        <v>205</v>
      </c>
      <c r="D53" s="28">
        <v>0.625</v>
      </c>
      <c r="E53" s="28">
        <v>0.95833333333333337</v>
      </c>
      <c r="F53" s="31">
        <v>30.5</v>
      </c>
      <c r="G53" s="34">
        <f>ROUND(H53*F53,2)</f>
        <v>244</v>
      </c>
      <c r="H53" s="25">
        <v>8</v>
      </c>
      <c r="I53" s="25"/>
      <c r="J53" s="25" t="s">
        <v>15</v>
      </c>
      <c r="K53" s="25" t="s">
        <v>20</v>
      </c>
      <c r="L53" s="25" t="s">
        <v>47</v>
      </c>
    </row>
    <row r="54" spans="1:12" ht="21.95" customHeight="1" x14ac:dyDescent="0.25">
      <c r="A54" s="22">
        <v>46109</v>
      </c>
      <c r="B54" s="25" t="s">
        <v>131</v>
      </c>
      <c r="C54" s="25" t="s">
        <v>205</v>
      </c>
      <c r="D54" s="28">
        <v>0.625</v>
      </c>
      <c r="E54" s="28">
        <v>0.95833333333333337</v>
      </c>
      <c r="F54" s="31">
        <v>30.5</v>
      </c>
      <c r="G54" s="34">
        <f>ROUND(H54*F54,2)</f>
        <v>244</v>
      </c>
      <c r="H54" s="25">
        <v>8</v>
      </c>
      <c r="I54" s="25"/>
      <c r="J54" s="25" t="s">
        <v>15</v>
      </c>
      <c r="K54" s="25" t="s">
        <v>20</v>
      </c>
      <c r="L54" s="25" t="s">
        <v>47</v>
      </c>
    </row>
    <row r="55" spans="1:12" ht="21.95" customHeight="1" x14ac:dyDescent="0.25">
      <c r="A55" s="22">
        <v>46109</v>
      </c>
      <c r="B55" s="25" t="s">
        <v>131</v>
      </c>
      <c r="C55" s="25" t="s">
        <v>205</v>
      </c>
      <c r="D55" s="28">
        <v>0.95833333333333337</v>
      </c>
      <c r="E55" s="28">
        <v>0.29166666666666669</v>
      </c>
      <c r="F55" s="31">
        <v>30.5</v>
      </c>
      <c r="G55" s="34">
        <f>ROUND(H55*F55,2)</f>
        <v>244</v>
      </c>
      <c r="H55" s="25">
        <v>8</v>
      </c>
      <c r="I55" s="25"/>
      <c r="J55" s="25" t="s">
        <v>15</v>
      </c>
      <c r="K55" s="25" t="s">
        <v>20</v>
      </c>
      <c r="L55" s="25" t="s">
        <v>30</v>
      </c>
    </row>
    <row r="56" spans="1:12" ht="21.95" customHeight="1" x14ac:dyDescent="0.25">
      <c r="A56" s="22">
        <v>46110</v>
      </c>
      <c r="B56" s="25" t="s">
        <v>159</v>
      </c>
      <c r="C56" s="25" t="s">
        <v>205</v>
      </c>
      <c r="D56" s="28">
        <v>0.58333333333333337</v>
      </c>
      <c r="E56" s="28">
        <v>0.91666666666666663</v>
      </c>
      <c r="F56" s="31">
        <v>30.5</v>
      </c>
      <c r="G56" s="34">
        <f>ROUND(H56*F56,2)</f>
        <v>244</v>
      </c>
      <c r="H56" s="25">
        <v>8</v>
      </c>
      <c r="I56" s="25"/>
      <c r="J56" s="25" t="s">
        <v>15</v>
      </c>
      <c r="K56" s="25" t="s">
        <v>20</v>
      </c>
      <c r="L56" s="25" t="s">
        <v>47</v>
      </c>
    </row>
    <row r="57" spans="1:12" ht="21.95" customHeight="1" x14ac:dyDescent="0.25">
      <c r="A57" s="22">
        <v>46110</v>
      </c>
      <c r="B57" s="25" t="s">
        <v>159</v>
      </c>
      <c r="C57" s="25" t="s">
        <v>205</v>
      </c>
      <c r="D57" s="28">
        <v>0.91666666666666663</v>
      </c>
      <c r="E57" s="28">
        <v>0.29166666666666669</v>
      </c>
      <c r="F57" s="31">
        <v>30.5</v>
      </c>
      <c r="G57" s="34">
        <f>ROUND(H57*F57,2)</f>
        <v>274.5</v>
      </c>
      <c r="H57" s="25">
        <v>9</v>
      </c>
      <c r="I57" s="25"/>
      <c r="J57" s="25" t="s">
        <v>15</v>
      </c>
      <c r="K57" s="25" t="s">
        <v>138</v>
      </c>
      <c r="L57" s="25" t="s">
        <v>17</v>
      </c>
    </row>
    <row r="58" spans="1:12" ht="21.95" customHeight="1" x14ac:dyDescent="0.25">
      <c r="A58" s="22">
        <v>46110</v>
      </c>
      <c r="B58" s="25" t="s">
        <v>13</v>
      </c>
      <c r="C58" s="25" t="s">
        <v>205</v>
      </c>
      <c r="D58" s="28">
        <v>0.625</v>
      </c>
      <c r="E58" s="28">
        <v>0.95833333333333337</v>
      </c>
      <c r="F58" s="31">
        <v>30.5</v>
      </c>
      <c r="G58" s="34">
        <f>ROUND(H58*F58,2)</f>
        <v>244</v>
      </c>
      <c r="H58" s="25">
        <v>8</v>
      </c>
      <c r="I58" s="25"/>
      <c r="J58" s="25" t="s">
        <v>15</v>
      </c>
      <c r="K58" s="25" t="s">
        <v>20</v>
      </c>
      <c r="L58" s="25" t="s">
        <v>47</v>
      </c>
    </row>
    <row r="59" spans="1:12" ht="21.95" customHeight="1" thickBot="1" x14ac:dyDescent="0.3">
      <c r="A59" s="23">
        <v>46110</v>
      </c>
      <c r="B59" s="26" t="s">
        <v>131</v>
      </c>
      <c r="C59" s="26" t="s">
        <v>205</v>
      </c>
      <c r="D59" s="29">
        <v>0.29166666666666669</v>
      </c>
      <c r="E59" s="29">
        <v>0.79166666666666663</v>
      </c>
      <c r="F59" s="32">
        <v>30.5</v>
      </c>
      <c r="G59" s="35">
        <f>ROUND(H59*F59,2)</f>
        <v>366</v>
      </c>
      <c r="H59" s="26">
        <v>12</v>
      </c>
      <c r="I59" s="26"/>
      <c r="J59" s="26" t="s">
        <v>15</v>
      </c>
      <c r="K59" s="26" t="s">
        <v>165</v>
      </c>
      <c r="L59" s="26" t="s">
        <v>47</v>
      </c>
    </row>
    <row r="60" spans="1:12" s="3" customFormat="1" ht="21.95" customHeight="1" thickBot="1" x14ac:dyDescent="0.3">
      <c r="A60" s="6"/>
      <c r="B60" s="7" t="s">
        <v>217</v>
      </c>
      <c r="C60" s="7"/>
      <c r="D60" s="20"/>
      <c r="E60" s="20"/>
      <c r="F60" s="8"/>
      <c r="G60" s="9">
        <f>SUM(G14:G59)</f>
        <v>10733.56</v>
      </c>
      <c r="H60" s="7">
        <f>SUM(H14:H59)</f>
        <v>351.92</v>
      </c>
      <c r="I60" s="7"/>
      <c r="J60" s="7"/>
      <c r="K60" s="7"/>
      <c r="L60" s="7"/>
    </row>
    <row r="61" spans="1:12" ht="21.95" customHeight="1" thickBot="1" x14ac:dyDescent="0.3">
      <c r="F61" s="8" t="s">
        <v>218</v>
      </c>
      <c r="G61" s="9">
        <f>ROUND(SUMIF(B14:B60,"Subtotal for Unit*",G14:G60),2)</f>
        <v>10733.56</v>
      </c>
      <c r="H61" s="7">
        <f>ROUND(SUMIF(B14:B60,"Subtotal for Unit*",H14:H60),2)</f>
        <v>351.92</v>
      </c>
    </row>
    <row r="62" spans="1:12" ht="21.95" customHeight="1" thickBot="1" x14ac:dyDescent="0.3">
      <c r="F62" s="8" t="s">
        <v>219</v>
      </c>
      <c r="G62" s="9">
        <f>ROUND(G61*0.13,2)</f>
        <v>1395.36</v>
      </c>
      <c r="H62" s="7"/>
    </row>
    <row r="63" spans="1:12" ht="21.95" customHeight="1" thickBot="1" x14ac:dyDescent="0.3">
      <c r="F63" s="8" t="s">
        <v>220</v>
      </c>
      <c r="G63" s="9">
        <f>G61+G62</f>
        <v>12128.92</v>
      </c>
      <c r="H63" s="7"/>
    </row>
    <row r="65" spans="1:9" ht="21.95" customHeight="1" x14ac:dyDescent="0.25">
      <c r="A65" s="42" t="s">
        <v>221</v>
      </c>
      <c r="B65" s="37" t="s">
        <v>222</v>
      </c>
      <c r="C65" s="37" t="s">
        <v>223</v>
      </c>
      <c r="D65" s="37"/>
      <c r="E65" s="37"/>
      <c r="F65" s="38"/>
      <c r="G65" s="39"/>
      <c r="H65" s="37"/>
      <c r="I65" s="37"/>
    </row>
    <row r="66" spans="1:9" ht="21.95" customHeight="1" x14ac:dyDescent="0.25">
      <c r="A66" s="36"/>
      <c r="B66" s="37" t="s">
        <v>224</v>
      </c>
      <c r="C66" s="37" t="s">
        <v>225</v>
      </c>
      <c r="D66" s="37"/>
      <c r="E66" s="37"/>
      <c r="F66" s="38"/>
      <c r="G66" s="39"/>
      <c r="H66" s="37"/>
      <c r="I66" s="37"/>
    </row>
    <row r="67" spans="1:9" ht="21.95" customHeight="1" x14ac:dyDescent="0.25">
      <c r="A67" s="36"/>
      <c r="B67" s="37" t="s">
        <v>226</v>
      </c>
      <c r="C67" s="37" t="s">
        <v>227</v>
      </c>
      <c r="D67" s="37"/>
      <c r="E67" s="37"/>
      <c r="F67" s="38"/>
      <c r="G67" s="39"/>
      <c r="H67" s="37"/>
      <c r="I67" s="37"/>
    </row>
    <row r="68" spans="1:9" ht="21.95" customHeight="1" x14ac:dyDescent="0.25">
      <c r="A68" s="36"/>
      <c r="B68" s="37" t="s">
        <v>228</v>
      </c>
      <c r="C68" s="37" t="s">
        <v>229</v>
      </c>
      <c r="D68" s="37"/>
      <c r="E68" s="37"/>
      <c r="F68" s="38"/>
      <c r="G68" s="39"/>
      <c r="H68" s="37"/>
      <c r="I68" s="37"/>
    </row>
    <row r="69" spans="1:9" ht="21.95" customHeight="1" x14ac:dyDescent="0.25">
      <c r="A69" s="36"/>
      <c r="B69" s="37"/>
      <c r="C69" s="37"/>
      <c r="D69" s="37"/>
      <c r="E69" s="37"/>
      <c r="F69" s="38"/>
      <c r="G69" s="39"/>
      <c r="H69" s="37"/>
      <c r="I69" s="37"/>
    </row>
    <row r="70" spans="1:9" ht="21.95" customHeight="1" x14ac:dyDescent="0.25">
      <c r="A70" s="42" t="s">
        <v>230</v>
      </c>
      <c r="B70" s="37"/>
      <c r="C70" s="37"/>
      <c r="D70" s="37"/>
      <c r="E70" s="37"/>
      <c r="F70" s="38"/>
      <c r="G70" s="39"/>
      <c r="H70" s="37"/>
      <c r="I70" s="37"/>
    </row>
    <row r="71" spans="1:9" ht="21.95" customHeight="1" x14ac:dyDescent="0.25">
      <c r="A71" s="42" t="s">
        <v>231</v>
      </c>
      <c r="B71" s="37"/>
      <c r="C71" s="37"/>
      <c r="D71" s="37"/>
      <c r="E71" s="37"/>
      <c r="F71" s="38"/>
      <c r="G71" s="39"/>
      <c r="H71" s="37"/>
      <c r="I71" s="37"/>
    </row>
    <row r="72" spans="1:9" ht="21.95" customHeight="1" x14ac:dyDescent="0.25">
      <c r="A72" s="42" t="s">
        <v>232</v>
      </c>
      <c r="B72" s="37"/>
      <c r="C72" s="37"/>
      <c r="D72" s="37"/>
      <c r="E72" s="37"/>
      <c r="F72" s="38"/>
      <c r="G72" s="39"/>
      <c r="H72" s="37"/>
      <c r="I72" s="37"/>
    </row>
    <row r="73" spans="1:9" ht="21.95" customHeight="1" x14ac:dyDescent="0.25">
      <c r="A73" s="42" t="s">
        <v>233</v>
      </c>
      <c r="B73" s="37"/>
      <c r="C73" s="37"/>
      <c r="D73" s="37"/>
      <c r="E73" s="37"/>
      <c r="F73" s="38"/>
      <c r="G73" s="39"/>
      <c r="H73" s="37"/>
      <c r="I73" s="37"/>
    </row>
    <row r="74" spans="1:9" ht="21.95" customHeight="1" x14ac:dyDescent="0.25">
      <c r="A74" s="42"/>
      <c r="B74" s="37"/>
      <c r="C74" s="40" t="s">
        <v>234</v>
      </c>
      <c r="D74" s="37"/>
      <c r="E74" s="37"/>
      <c r="F74" s="38"/>
      <c r="G74" s="39"/>
      <c r="H74" s="37"/>
      <c r="I74" s="37"/>
    </row>
    <row r="75" spans="1:9" ht="21.95" customHeight="1" x14ac:dyDescent="0.25">
      <c r="A75" s="42" t="s">
        <v>235</v>
      </c>
      <c r="B75" s="41" t="s">
        <v>236</v>
      </c>
      <c r="C75" s="37"/>
      <c r="D75" s="37"/>
      <c r="E75" s="37"/>
      <c r="F75" s="38"/>
      <c r="G75" s="39"/>
      <c r="H75" s="37"/>
      <c r="I75" s="37"/>
    </row>
  </sheetData>
  <sortState xmlns:xlrd2="http://schemas.microsoft.com/office/spreadsheetml/2017/richdata2" ref="A14:L59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  <rowBreaks count="1" manualBreakCount="1">
    <brk id="41" max="8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30"/>
  <sheetViews>
    <sheetView zoomScale="66" zoomScaleNormal="66" workbookViewId="0">
      <selection activeCell="A14" sqref="A14:N14"/>
    </sheetView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251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46108</v>
      </c>
      <c r="B14" s="11" t="s">
        <v>163</v>
      </c>
      <c r="C14" s="11" t="s">
        <v>251</v>
      </c>
      <c r="D14" s="43">
        <v>0.92708333333333337</v>
      </c>
      <c r="E14" s="43">
        <v>0.375</v>
      </c>
      <c r="F14" s="12">
        <v>31.17</v>
      </c>
      <c r="G14" s="13">
        <f>ROUND(H14*F14,2)</f>
        <v>335.08</v>
      </c>
      <c r="H14" s="11">
        <v>10.75</v>
      </c>
      <c r="I14" s="11"/>
      <c r="J14" s="11"/>
      <c r="K14" s="11" t="s">
        <v>168</v>
      </c>
      <c r="L14" s="11" t="s">
        <v>23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335.08</v>
      </c>
      <c r="H15" s="7">
        <f>SUM(H14)</f>
        <v>10.75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335.08</v>
      </c>
      <c r="H16" s="7">
        <f>ROUND(SUMIF(B14:B15,"Subtotal for Unit*",H14:H15),2)</f>
        <v>10.75</v>
      </c>
    </row>
    <row r="17" spans="1:9" ht="21.95" customHeight="1" thickBot="1" x14ac:dyDescent="0.3">
      <c r="F17" s="8" t="s">
        <v>219</v>
      </c>
      <c r="G17" s="9">
        <f>ROUND(G16*0.13,2)</f>
        <v>43.56</v>
      </c>
      <c r="H17" s="7"/>
    </row>
    <row r="18" spans="1:9" ht="21.95" customHeight="1" thickBot="1" x14ac:dyDescent="0.3">
      <c r="F18" s="8" t="s">
        <v>220</v>
      </c>
      <c r="G18" s="9">
        <f>G16+G17</f>
        <v>378.64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L55"/>
  <sheetViews>
    <sheetView topLeftCell="A4" zoomScale="66" zoomScaleNormal="66"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237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x14ac:dyDescent="0.25">
      <c r="A14" s="21">
        <v>46097</v>
      </c>
      <c r="B14" s="24" t="s">
        <v>71</v>
      </c>
      <c r="C14" s="24" t="s">
        <v>237</v>
      </c>
      <c r="D14" s="27">
        <v>0.41666666666666669</v>
      </c>
      <c r="E14" s="27">
        <v>0.58333333333333337</v>
      </c>
      <c r="F14" s="30">
        <v>30.5</v>
      </c>
      <c r="G14" s="33">
        <f>ROUND(H14*F14,2)</f>
        <v>122</v>
      </c>
      <c r="H14" s="24">
        <v>4</v>
      </c>
      <c r="I14" s="24"/>
      <c r="J14" s="24"/>
      <c r="K14" s="24" t="s">
        <v>16</v>
      </c>
      <c r="L14" s="24" t="s">
        <v>17</v>
      </c>
    </row>
    <row r="15" spans="1:12" ht="21.95" customHeight="1" x14ac:dyDescent="0.25">
      <c r="A15" s="22">
        <v>46097</v>
      </c>
      <c r="B15" s="25" t="s">
        <v>71</v>
      </c>
      <c r="C15" s="25" t="s">
        <v>237</v>
      </c>
      <c r="D15" s="28">
        <v>0.41666666666666669</v>
      </c>
      <c r="E15" s="28">
        <v>0.58333333333333337</v>
      </c>
      <c r="F15" s="31">
        <v>30.5</v>
      </c>
      <c r="G15" s="34">
        <f>ROUND(H15*F15,2)</f>
        <v>122</v>
      </c>
      <c r="H15" s="25">
        <v>4</v>
      </c>
      <c r="I15" s="25"/>
      <c r="J15" s="25"/>
      <c r="K15" s="25" t="s">
        <v>16</v>
      </c>
      <c r="L15" s="25" t="s">
        <v>57</v>
      </c>
    </row>
    <row r="16" spans="1:12" ht="21.95" customHeight="1" x14ac:dyDescent="0.25">
      <c r="A16" s="22">
        <v>46097</v>
      </c>
      <c r="B16" s="25" t="s">
        <v>69</v>
      </c>
      <c r="C16" s="25" t="s">
        <v>237</v>
      </c>
      <c r="D16" s="28">
        <v>0.41666666666666669</v>
      </c>
      <c r="E16" s="28">
        <v>0.58333333333333337</v>
      </c>
      <c r="F16" s="31">
        <v>30.5</v>
      </c>
      <c r="G16" s="34">
        <f>ROUND(H16*F16,2)</f>
        <v>122</v>
      </c>
      <c r="H16" s="25">
        <v>4</v>
      </c>
      <c r="I16" s="25"/>
      <c r="J16" s="25"/>
      <c r="K16" s="25" t="s">
        <v>16</v>
      </c>
      <c r="L16" s="25" t="s">
        <v>57</v>
      </c>
    </row>
    <row r="17" spans="1:12" ht="21.95" customHeight="1" x14ac:dyDescent="0.25">
      <c r="A17" s="22">
        <v>46098</v>
      </c>
      <c r="B17" s="25" t="s">
        <v>71</v>
      </c>
      <c r="C17" s="25" t="s">
        <v>237</v>
      </c>
      <c r="D17" s="28">
        <v>0.41666666666666669</v>
      </c>
      <c r="E17" s="28">
        <v>0.58333333333333337</v>
      </c>
      <c r="F17" s="31">
        <v>30.5</v>
      </c>
      <c r="G17" s="34">
        <f>ROUND(H17*F17,2)</f>
        <v>122</v>
      </c>
      <c r="H17" s="25">
        <v>4</v>
      </c>
      <c r="I17" s="25"/>
      <c r="J17" s="25"/>
      <c r="K17" s="25" t="s">
        <v>16</v>
      </c>
      <c r="L17" s="25" t="s">
        <v>17</v>
      </c>
    </row>
    <row r="18" spans="1:12" ht="21.95" customHeight="1" x14ac:dyDescent="0.25">
      <c r="A18" s="22">
        <v>46098</v>
      </c>
      <c r="B18" s="25" t="s">
        <v>71</v>
      </c>
      <c r="C18" s="25" t="s">
        <v>237</v>
      </c>
      <c r="D18" s="28">
        <v>0.41666666666666669</v>
      </c>
      <c r="E18" s="28">
        <v>0.58333333333333337</v>
      </c>
      <c r="F18" s="31">
        <v>30.5</v>
      </c>
      <c r="G18" s="34">
        <f>ROUND(H18*F18,2)</f>
        <v>122</v>
      </c>
      <c r="H18" s="25">
        <v>4</v>
      </c>
      <c r="I18" s="25"/>
      <c r="J18" s="25"/>
      <c r="K18" s="25" t="s">
        <v>16</v>
      </c>
      <c r="L18" s="25" t="s">
        <v>57</v>
      </c>
    </row>
    <row r="19" spans="1:12" ht="21.95" customHeight="1" x14ac:dyDescent="0.25">
      <c r="A19" s="22">
        <v>46098</v>
      </c>
      <c r="B19" s="25" t="s">
        <v>69</v>
      </c>
      <c r="C19" s="25" t="s">
        <v>237</v>
      </c>
      <c r="D19" s="28">
        <v>0.375</v>
      </c>
      <c r="E19" s="28">
        <v>0.625</v>
      </c>
      <c r="F19" s="31">
        <v>30.5</v>
      </c>
      <c r="G19" s="34">
        <f>ROUND(H19*F19,2)</f>
        <v>183</v>
      </c>
      <c r="H19" s="25">
        <v>6</v>
      </c>
      <c r="I19" s="25"/>
      <c r="J19" s="25"/>
      <c r="K19" s="25" t="s">
        <v>42</v>
      </c>
      <c r="L19" s="25" t="s">
        <v>57</v>
      </c>
    </row>
    <row r="20" spans="1:12" ht="21.95" customHeight="1" x14ac:dyDescent="0.25">
      <c r="A20" s="22">
        <v>46098</v>
      </c>
      <c r="B20" s="25" t="s">
        <v>69</v>
      </c>
      <c r="C20" s="25" t="s">
        <v>237</v>
      </c>
      <c r="D20" s="28">
        <v>0.41666666666666669</v>
      </c>
      <c r="E20" s="28">
        <v>0.58333333333333337</v>
      </c>
      <c r="F20" s="31">
        <v>30.5</v>
      </c>
      <c r="G20" s="34">
        <f>ROUND(H20*F20,2)</f>
        <v>122</v>
      </c>
      <c r="H20" s="25">
        <v>4</v>
      </c>
      <c r="I20" s="25"/>
      <c r="J20" s="25"/>
      <c r="K20" s="25" t="s">
        <v>16</v>
      </c>
      <c r="L20" s="25" t="s">
        <v>57</v>
      </c>
    </row>
    <row r="21" spans="1:12" ht="21.95" customHeight="1" x14ac:dyDescent="0.25">
      <c r="A21" s="22">
        <v>46099</v>
      </c>
      <c r="B21" s="25" t="s">
        <v>71</v>
      </c>
      <c r="C21" s="25" t="s">
        <v>237</v>
      </c>
      <c r="D21" s="28">
        <v>0.41666666666666669</v>
      </c>
      <c r="E21" s="28">
        <v>0.58333333333333337</v>
      </c>
      <c r="F21" s="31">
        <v>30.5</v>
      </c>
      <c r="G21" s="34">
        <f>ROUND(H21*F21,2)</f>
        <v>122</v>
      </c>
      <c r="H21" s="25">
        <v>4</v>
      </c>
      <c r="I21" s="25"/>
      <c r="J21" s="25"/>
      <c r="K21" s="25" t="s">
        <v>16</v>
      </c>
      <c r="L21" s="25" t="s">
        <v>57</v>
      </c>
    </row>
    <row r="22" spans="1:12" ht="21.95" customHeight="1" x14ac:dyDescent="0.25">
      <c r="A22" s="22">
        <v>46099</v>
      </c>
      <c r="B22" s="25" t="s">
        <v>69</v>
      </c>
      <c r="C22" s="25" t="s">
        <v>237</v>
      </c>
      <c r="D22" s="28">
        <v>0.41666666666666669</v>
      </c>
      <c r="E22" s="28">
        <v>0.58333333333333337</v>
      </c>
      <c r="F22" s="31">
        <v>30.5</v>
      </c>
      <c r="G22" s="34">
        <f>ROUND(H22*F22,2)</f>
        <v>122</v>
      </c>
      <c r="H22" s="25">
        <v>4</v>
      </c>
      <c r="I22" s="25"/>
      <c r="J22" s="25"/>
      <c r="K22" s="25" t="s">
        <v>16</v>
      </c>
      <c r="L22" s="25" t="s">
        <v>57</v>
      </c>
    </row>
    <row r="23" spans="1:12" ht="21.95" customHeight="1" x14ac:dyDescent="0.25">
      <c r="A23" s="22">
        <v>46099</v>
      </c>
      <c r="B23" s="25" t="s">
        <v>69</v>
      </c>
      <c r="C23" s="25" t="s">
        <v>237</v>
      </c>
      <c r="D23" s="28">
        <v>0.41666666666666669</v>
      </c>
      <c r="E23" s="28">
        <v>0.58333333333333337</v>
      </c>
      <c r="F23" s="31">
        <v>30.5</v>
      </c>
      <c r="G23" s="34">
        <f>ROUND(H23*F23,2)</f>
        <v>122</v>
      </c>
      <c r="H23" s="25">
        <v>4</v>
      </c>
      <c r="I23" s="25"/>
      <c r="J23" s="25"/>
      <c r="K23" s="25" t="s">
        <v>16</v>
      </c>
      <c r="L23" s="25" t="s">
        <v>57</v>
      </c>
    </row>
    <row r="24" spans="1:12" ht="21.95" customHeight="1" x14ac:dyDescent="0.25">
      <c r="A24" s="22">
        <v>46100</v>
      </c>
      <c r="B24" s="25" t="s">
        <v>71</v>
      </c>
      <c r="C24" s="25" t="s">
        <v>237</v>
      </c>
      <c r="D24" s="28">
        <v>0.41666666666666669</v>
      </c>
      <c r="E24" s="28">
        <v>0.58333333333333337</v>
      </c>
      <c r="F24" s="31">
        <v>30.5</v>
      </c>
      <c r="G24" s="34">
        <f>ROUND(H24*F24,2)</f>
        <v>122</v>
      </c>
      <c r="H24" s="25">
        <v>4</v>
      </c>
      <c r="I24" s="25"/>
      <c r="J24" s="25"/>
      <c r="K24" s="25" t="s">
        <v>16</v>
      </c>
      <c r="L24" s="25" t="s">
        <v>57</v>
      </c>
    </row>
    <row r="25" spans="1:12" ht="21.95" customHeight="1" x14ac:dyDescent="0.25">
      <c r="A25" s="22">
        <v>46100</v>
      </c>
      <c r="B25" s="25" t="s">
        <v>71</v>
      </c>
      <c r="C25" s="25" t="s">
        <v>237</v>
      </c>
      <c r="D25" s="28">
        <v>0.41666666666666669</v>
      </c>
      <c r="E25" s="28">
        <v>0.58333333333333337</v>
      </c>
      <c r="F25" s="31">
        <v>30.5</v>
      </c>
      <c r="G25" s="34">
        <f>ROUND(H25*F25,2)</f>
        <v>122</v>
      </c>
      <c r="H25" s="25">
        <v>4</v>
      </c>
      <c r="I25" s="25"/>
      <c r="J25" s="25"/>
      <c r="K25" s="25" t="s">
        <v>16</v>
      </c>
      <c r="L25" s="25" t="s">
        <v>57</v>
      </c>
    </row>
    <row r="26" spans="1:12" ht="21.95" customHeight="1" x14ac:dyDescent="0.25">
      <c r="A26" s="22">
        <v>46100</v>
      </c>
      <c r="B26" s="25" t="s">
        <v>69</v>
      </c>
      <c r="C26" s="25" t="s">
        <v>237</v>
      </c>
      <c r="D26" s="28">
        <v>0.375</v>
      </c>
      <c r="E26" s="28">
        <v>0.625</v>
      </c>
      <c r="F26" s="31">
        <v>30.5</v>
      </c>
      <c r="G26" s="34">
        <f>ROUND(H26*F26,2)</f>
        <v>183</v>
      </c>
      <c r="H26" s="25">
        <v>6</v>
      </c>
      <c r="I26" s="25"/>
      <c r="J26" s="25"/>
      <c r="K26" s="25" t="s">
        <v>42</v>
      </c>
      <c r="L26" s="25" t="s">
        <v>57</v>
      </c>
    </row>
    <row r="27" spans="1:12" ht="21.95" customHeight="1" x14ac:dyDescent="0.25">
      <c r="A27" s="22">
        <v>46101</v>
      </c>
      <c r="B27" s="25" t="s">
        <v>71</v>
      </c>
      <c r="C27" s="25" t="s">
        <v>237</v>
      </c>
      <c r="D27" s="28">
        <v>0.41666666666666669</v>
      </c>
      <c r="E27" s="28">
        <v>0.58333333333333337</v>
      </c>
      <c r="F27" s="31">
        <v>30.5</v>
      </c>
      <c r="G27" s="34">
        <f>ROUND(H27*F27,2)</f>
        <v>122</v>
      </c>
      <c r="H27" s="25">
        <v>4</v>
      </c>
      <c r="I27" s="25"/>
      <c r="J27" s="25"/>
      <c r="K27" s="25" t="s">
        <v>16</v>
      </c>
      <c r="L27" s="25" t="s">
        <v>23</v>
      </c>
    </row>
    <row r="28" spans="1:12" ht="21.95" customHeight="1" x14ac:dyDescent="0.25">
      <c r="A28" s="22">
        <v>46101</v>
      </c>
      <c r="B28" s="25" t="s">
        <v>71</v>
      </c>
      <c r="C28" s="25" t="s">
        <v>237</v>
      </c>
      <c r="D28" s="28">
        <v>0.41666666666666669</v>
      </c>
      <c r="E28" s="28">
        <v>0.58333333333333337</v>
      </c>
      <c r="F28" s="31">
        <v>30.5</v>
      </c>
      <c r="G28" s="34">
        <f>ROUND(H28*F28,2)</f>
        <v>122</v>
      </c>
      <c r="H28" s="25">
        <v>4</v>
      </c>
      <c r="I28" s="25"/>
      <c r="J28" s="25"/>
      <c r="K28" s="25" t="s">
        <v>16</v>
      </c>
      <c r="L28" s="25" t="s">
        <v>57</v>
      </c>
    </row>
    <row r="29" spans="1:12" ht="21.95" customHeight="1" x14ac:dyDescent="0.25">
      <c r="A29" s="22">
        <v>46101</v>
      </c>
      <c r="B29" s="25" t="s">
        <v>71</v>
      </c>
      <c r="C29" s="25" t="s">
        <v>237</v>
      </c>
      <c r="D29" s="28">
        <v>0.41666666666666669</v>
      </c>
      <c r="E29" s="28">
        <v>0.58333333333333337</v>
      </c>
      <c r="F29" s="31">
        <v>30.5</v>
      </c>
      <c r="G29" s="34">
        <f>ROUND(H29*F29,2)</f>
        <v>122</v>
      </c>
      <c r="H29" s="25">
        <v>4</v>
      </c>
      <c r="I29" s="25"/>
      <c r="J29" s="25"/>
      <c r="K29" s="25" t="s">
        <v>106</v>
      </c>
      <c r="L29" s="25" t="s">
        <v>57</v>
      </c>
    </row>
    <row r="30" spans="1:12" ht="21.95" customHeight="1" x14ac:dyDescent="0.25">
      <c r="A30" s="22">
        <v>46101</v>
      </c>
      <c r="B30" s="25" t="s">
        <v>69</v>
      </c>
      <c r="C30" s="25" t="s">
        <v>237</v>
      </c>
      <c r="D30" s="28">
        <v>0.41666666666666669</v>
      </c>
      <c r="E30" s="28">
        <v>0.58333333333333337</v>
      </c>
      <c r="F30" s="31">
        <v>30.5</v>
      </c>
      <c r="G30" s="34">
        <f>ROUND(H30*F30,2)</f>
        <v>122</v>
      </c>
      <c r="H30" s="25">
        <v>4</v>
      </c>
      <c r="I30" s="25"/>
      <c r="J30" s="25"/>
      <c r="K30" s="25" t="s">
        <v>16</v>
      </c>
      <c r="L30" s="25" t="s">
        <v>57</v>
      </c>
    </row>
    <row r="31" spans="1:12" ht="21.95" customHeight="1" x14ac:dyDescent="0.25">
      <c r="A31" s="22">
        <v>46104</v>
      </c>
      <c r="B31" s="25" t="s">
        <v>71</v>
      </c>
      <c r="C31" s="25" t="s">
        <v>237</v>
      </c>
      <c r="D31" s="28">
        <v>0.41666666666666669</v>
      </c>
      <c r="E31" s="28">
        <v>0.625</v>
      </c>
      <c r="F31" s="31">
        <v>30.5</v>
      </c>
      <c r="G31" s="34">
        <f>ROUND(H31*F31,2)</f>
        <v>152.5</v>
      </c>
      <c r="H31" s="25">
        <v>5</v>
      </c>
      <c r="I31" s="25"/>
      <c r="J31" s="25"/>
      <c r="K31" s="25" t="s">
        <v>87</v>
      </c>
      <c r="L31" s="25" t="s">
        <v>57</v>
      </c>
    </row>
    <row r="32" spans="1:12" ht="21.95" customHeight="1" x14ac:dyDescent="0.25">
      <c r="A32" s="22">
        <v>46104</v>
      </c>
      <c r="B32" s="25" t="s">
        <v>69</v>
      </c>
      <c r="C32" s="25" t="s">
        <v>237</v>
      </c>
      <c r="D32" s="28">
        <v>0.41666666666666669</v>
      </c>
      <c r="E32" s="28">
        <v>0.625</v>
      </c>
      <c r="F32" s="31">
        <v>30.5</v>
      </c>
      <c r="G32" s="34">
        <f>ROUND(H32*F32,2)</f>
        <v>152.5</v>
      </c>
      <c r="H32" s="25">
        <v>5</v>
      </c>
      <c r="I32" s="25"/>
      <c r="J32" s="25"/>
      <c r="K32" s="25" t="s">
        <v>87</v>
      </c>
      <c r="L32" s="25" t="s">
        <v>57</v>
      </c>
    </row>
    <row r="33" spans="1:12" ht="21.95" customHeight="1" x14ac:dyDescent="0.25">
      <c r="A33" s="22">
        <v>46105</v>
      </c>
      <c r="B33" s="25" t="s">
        <v>71</v>
      </c>
      <c r="C33" s="25" t="s">
        <v>237</v>
      </c>
      <c r="D33" s="28">
        <v>0.41666666666666669</v>
      </c>
      <c r="E33" s="28">
        <v>0.625</v>
      </c>
      <c r="F33" s="31">
        <v>30.5</v>
      </c>
      <c r="G33" s="34">
        <f>ROUND(H33*F33,2)</f>
        <v>152.5</v>
      </c>
      <c r="H33" s="25">
        <v>5</v>
      </c>
      <c r="I33" s="25"/>
      <c r="J33" s="25"/>
      <c r="K33" s="25" t="s">
        <v>87</v>
      </c>
      <c r="L33" s="25" t="s">
        <v>57</v>
      </c>
    </row>
    <row r="34" spans="1:12" ht="21.95" customHeight="1" x14ac:dyDescent="0.25">
      <c r="A34" s="22">
        <v>46105</v>
      </c>
      <c r="B34" s="25" t="s">
        <v>69</v>
      </c>
      <c r="C34" s="25" t="s">
        <v>237</v>
      </c>
      <c r="D34" s="28">
        <v>0.375</v>
      </c>
      <c r="E34" s="28">
        <v>0.625</v>
      </c>
      <c r="F34" s="31">
        <v>30.5</v>
      </c>
      <c r="G34" s="34">
        <f>ROUND(H34*F34,2)</f>
        <v>183</v>
      </c>
      <c r="H34" s="25">
        <v>6</v>
      </c>
      <c r="I34" s="25"/>
      <c r="J34" s="25"/>
      <c r="K34" s="25" t="s">
        <v>87</v>
      </c>
      <c r="L34" s="25" t="s">
        <v>57</v>
      </c>
    </row>
    <row r="35" spans="1:12" ht="21.95" customHeight="1" x14ac:dyDescent="0.25">
      <c r="A35" s="22">
        <v>46106</v>
      </c>
      <c r="B35" s="25" t="s">
        <v>71</v>
      </c>
      <c r="C35" s="25" t="s">
        <v>237</v>
      </c>
      <c r="D35" s="28">
        <v>0.41666666666666669</v>
      </c>
      <c r="E35" s="28">
        <v>0.625</v>
      </c>
      <c r="F35" s="31">
        <v>30.5</v>
      </c>
      <c r="G35" s="34">
        <f>ROUND(H35*F35,2)</f>
        <v>152.5</v>
      </c>
      <c r="H35" s="25">
        <v>5</v>
      </c>
      <c r="I35" s="25"/>
      <c r="J35" s="25"/>
      <c r="K35" s="25" t="s">
        <v>42</v>
      </c>
      <c r="L35" s="25" t="s">
        <v>57</v>
      </c>
    </row>
    <row r="36" spans="1:12" ht="21.95" customHeight="1" x14ac:dyDescent="0.25">
      <c r="A36" s="22">
        <v>46106</v>
      </c>
      <c r="B36" s="25" t="s">
        <v>69</v>
      </c>
      <c r="C36" s="25" t="s">
        <v>237</v>
      </c>
      <c r="D36" s="28">
        <v>0.375</v>
      </c>
      <c r="E36" s="28">
        <v>0.625</v>
      </c>
      <c r="F36" s="31">
        <v>30.5</v>
      </c>
      <c r="G36" s="34">
        <f>ROUND(H36*F36,2)</f>
        <v>183</v>
      </c>
      <c r="H36" s="25">
        <v>6</v>
      </c>
      <c r="I36" s="25"/>
      <c r="J36" s="25"/>
      <c r="K36" s="25" t="s">
        <v>42</v>
      </c>
      <c r="L36" s="25" t="s">
        <v>57</v>
      </c>
    </row>
    <row r="37" spans="1:12" ht="21.95" customHeight="1" x14ac:dyDescent="0.25">
      <c r="A37" s="22">
        <v>46107</v>
      </c>
      <c r="B37" s="25" t="s">
        <v>186</v>
      </c>
      <c r="C37" s="25" t="s">
        <v>237</v>
      </c>
      <c r="D37" s="28">
        <v>0.41666666666666669</v>
      </c>
      <c r="E37" s="28">
        <v>0.625</v>
      </c>
      <c r="F37" s="31">
        <v>30.5</v>
      </c>
      <c r="G37" s="34">
        <f>ROUND(H37*F37,2)</f>
        <v>152.5</v>
      </c>
      <c r="H37" s="25">
        <v>5</v>
      </c>
      <c r="I37" s="25"/>
      <c r="J37" s="25"/>
      <c r="K37" s="25" t="s">
        <v>87</v>
      </c>
      <c r="L37" s="25" t="s">
        <v>17</v>
      </c>
    </row>
    <row r="38" spans="1:12" ht="21.95" customHeight="1" x14ac:dyDescent="0.25">
      <c r="A38" s="22">
        <v>46107</v>
      </c>
      <c r="B38" s="25" t="s">
        <v>71</v>
      </c>
      <c r="C38" s="25" t="s">
        <v>237</v>
      </c>
      <c r="D38" s="28">
        <v>0.41666666666666669</v>
      </c>
      <c r="E38" s="28">
        <v>0.625</v>
      </c>
      <c r="F38" s="31">
        <v>30.5</v>
      </c>
      <c r="G38" s="34">
        <f>ROUND(H38*F38,2)</f>
        <v>152.5</v>
      </c>
      <c r="H38" s="25">
        <v>5</v>
      </c>
      <c r="I38" s="25"/>
      <c r="J38" s="25"/>
      <c r="K38" s="25" t="s">
        <v>87</v>
      </c>
      <c r="L38" s="25" t="s">
        <v>57</v>
      </c>
    </row>
    <row r="39" spans="1:12" ht="21.95" customHeight="1" thickBot="1" x14ac:dyDescent="0.3">
      <c r="A39" s="23">
        <v>46107</v>
      </c>
      <c r="B39" s="26" t="s">
        <v>69</v>
      </c>
      <c r="C39" s="26" t="s">
        <v>237</v>
      </c>
      <c r="D39" s="29">
        <v>0.375</v>
      </c>
      <c r="E39" s="29">
        <v>0.625</v>
      </c>
      <c r="F39" s="32">
        <v>30.5</v>
      </c>
      <c r="G39" s="35">
        <f>ROUND(H39*F39,2)</f>
        <v>183</v>
      </c>
      <c r="H39" s="26">
        <v>6</v>
      </c>
      <c r="I39" s="26"/>
      <c r="J39" s="26"/>
      <c r="K39" s="26" t="s">
        <v>42</v>
      </c>
      <c r="L39" s="26" t="s">
        <v>57</v>
      </c>
    </row>
    <row r="40" spans="1:12" s="3" customFormat="1" ht="21.95" customHeight="1" thickBot="1" x14ac:dyDescent="0.3">
      <c r="A40" s="6"/>
      <c r="B40" s="7" t="s">
        <v>217</v>
      </c>
      <c r="C40" s="7"/>
      <c r="D40" s="20"/>
      <c r="E40" s="20"/>
      <c r="F40" s="8"/>
      <c r="G40" s="9">
        <f>SUM(G14:G39)</f>
        <v>3660</v>
      </c>
      <c r="H40" s="7">
        <f>SUM(H14:H39)</f>
        <v>120</v>
      </c>
      <c r="I40" s="7"/>
      <c r="J40" s="7"/>
      <c r="K40" s="7"/>
      <c r="L40" s="7"/>
    </row>
    <row r="41" spans="1:12" ht="21.95" customHeight="1" thickBot="1" x14ac:dyDescent="0.3">
      <c r="F41" s="8" t="s">
        <v>218</v>
      </c>
      <c r="G41" s="9">
        <f>ROUND(SUMIF(B14:B40,"Subtotal for Unit*",G14:G40),2)</f>
        <v>3660</v>
      </c>
      <c r="H41" s="7">
        <f>ROUND(SUMIF(B14:B40,"Subtotal for Unit*",H14:H40),2)</f>
        <v>120</v>
      </c>
    </row>
    <row r="42" spans="1:12" ht="21.95" customHeight="1" thickBot="1" x14ac:dyDescent="0.3">
      <c r="F42" s="8" t="s">
        <v>219</v>
      </c>
      <c r="G42" s="9">
        <f>ROUND(G41*0.13,2)</f>
        <v>475.8</v>
      </c>
      <c r="H42" s="7"/>
    </row>
    <row r="43" spans="1:12" ht="21.95" customHeight="1" thickBot="1" x14ac:dyDescent="0.3">
      <c r="F43" s="8" t="s">
        <v>220</v>
      </c>
      <c r="G43" s="9">
        <f>G41+G42</f>
        <v>4135.8</v>
      </c>
      <c r="H43" s="7"/>
    </row>
    <row r="45" spans="1:12" ht="21.95" customHeight="1" x14ac:dyDescent="0.25">
      <c r="A45" s="42" t="s">
        <v>221</v>
      </c>
      <c r="B45" s="37" t="s">
        <v>222</v>
      </c>
      <c r="C45" s="37" t="s">
        <v>223</v>
      </c>
      <c r="D45" s="37"/>
      <c r="E45" s="37"/>
      <c r="F45" s="38"/>
      <c r="G45" s="39"/>
      <c r="H45" s="37"/>
      <c r="I45" s="37"/>
    </row>
    <row r="46" spans="1:12" ht="21.95" customHeight="1" x14ac:dyDescent="0.25">
      <c r="A46" s="36"/>
      <c r="B46" s="37" t="s">
        <v>224</v>
      </c>
      <c r="C46" s="37" t="s">
        <v>225</v>
      </c>
      <c r="D46" s="37"/>
      <c r="E46" s="37"/>
      <c r="F46" s="38"/>
      <c r="G46" s="39"/>
      <c r="H46" s="37"/>
      <c r="I46" s="37"/>
    </row>
    <row r="47" spans="1:12" ht="21.95" customHeight="1" x14ac:dyDescent="0.25">
      <c r="A47" s="36"/>
      <c r="B47" s="37" t="s">
        <v>226</v>
      </c>
      <c r="C47" s="37" t="s">
        <v>227</v>
      </c>
      <c r="D47" s="37"/>
      <c r="E47" s="37"/>
      <c r="F47" s="38"/>
      <c r="G47" s="39"/>
      <c r="H47" s="37"/>
      <c r="I47" s="37"/>
    </row>
    <row r="48" spans="1:12" ht="21.95" customHeight="1" x14ac:dyDescent="0.25">
      <c r="A48" s="36"/>
      <c r="B48" s="37" t="s">
        <v>228</v>
      </c>
      <c r="C48" s="37" t="s">
        <v>229</v>
      </c>
      <c r="D48" s="37"/>
      <c r="E48" s="37"/>
      <c r="F48" s="38"/>
      <c r="G48" s="39"/>
      <c r="H48" s="37"/>
      <c r="I48" s="37"/>
    </row>
    <row r="49" spans="1:9" ht="21.95" customHeight="1" x14ac:dyDescent="0.25">
      <c r="A49" s="36"/>
      <c r="B49" s="37"/>
      <c r="C49" s="37"/>
      <c r="D49" s="37"/>
      <c r="E49" s="37"/>
      <c r="F49" s="38"/>
      <c r="G49" s="39"/>
      <c r="H49" s="37"/>
      <c r="I49" s="37"/>
    </row>
    <row r="50" spans="1:9" ht="21.95" customHeight="1" x14ac:dyDescent="0.25">
      <c r="A50" s="42" t="s">
        <v>230</v>
      </c>
      <c r="B50" s="37"/>
      <c r="C50" s="37"/>
      <c r="D50" s="37"/>
      <c r="E50" s="37"/>
      <c r="F50" s="38"/>
      <c r="G50" s="39"/>
      <c r="H50" s="37"/>
      <c r="I50" s="37"/>
    </row>
    <row r="51" spans="1:9" ht="21.95" customHeight="1" x14ac:dyDescent="0.25">
      <c r="A51" s="42" t="s">
        <v>231</v>
      </c>
      <c r="B51" s="37"/>
      <c r="C51" s="37"/>
      <c r="D51" s="37"/>
      <c r="E51" s="37"/>
      <c r="F51" s="38"/>
      <c r="G51" s="39"/>
      <c r="H51" s="37"/>
      <c r="I51" s="37"/>
    </row>
    <row r="52" spans="1:9" ht="21.95" customHeight="1" x14ac:dyDescent="0.25">
      <c r="A52" s="42" t="s">
        <v>232</v>
      </c>
      <c r="B52" s="37"/>
      <c r="C52" s="37"/>
      <c r="D52" s="37"/>
      <c r="E52" s="37"/>
      <c r="F52" s="38"/>
      <c r="G52" s="39"/>
      <c r="H52" s="37"/>
      <c r="I52" s="37"/>
    </row>
    <row r="53" spans="1:9" ht="21.95" customHeight="1" x14ac:dyDescent="0.25">
      <c r="A53" s="42" t="s">
        <v>233</v>
      </c>
      <c r="B53" s="37"/>
      <c r="C53" s="37"/>
      <c r="D53" s="37"/>
      <c r="E53" s="37"/>
      <c r="F53" s="38"/>
      <c r="G53" s="39"/>
      <c r="H53" s="37"/>
      <c r="I53" s="37"/>
    </row>
    <row r="54" spans="1:9" ht="21.95" customHeight="1" x14ac:dyDescent="0.25">
      <c r="A54" s="42"/>
      <c r="B54" s="37"/>
      <c r="C54" s="40" t="s">
        <v>234</v>
      </c>
      <c r="D54" s="37"/>
      <c r="E54" s="37"/>
      <c r="F54" s="38"/>
      <c r="G54" s="39"/>
      <c r="H54" s="37"/>
      <c r="I54" s="37"/>
    </row>
    <row r="55" spans="1:9" ht="21.95" customHeight="1" x14ac:dyDescent="0.25">
      <c r="A55" s="42" t="s">
        <v>235</v>
      </c>
      <c r="B55" s="41" t="s">
        <v>236</v>
      </c>
      <c r="C55" s="37"/>
      <c r="D55" s="37"/>
      <c r="E55" s="37"/>
      <c r="F55" s="38"/>
      <c r="G55" s="39"/>
      <c r="H55" s="37"/>
      <c r="I55" s="37"/>
    </row>
  </sheetData>
  <sortState xmlns:xlrd2="http://schemas.microsoft.com/office/spreadsheetml/2017/richdata2" ref="A14:L39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  <rowBreaks count="1" manualBreakCount="1">
    <brk id="41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49"/>
  <sheetViews>
    <sheetView topLeftCell="A13"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238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x14ac:dyDescent="0.25">
      <c r="A14" s="21">
        <v>46097</v>
      </c>
      <c r="B14" s="24" t="s">
        <v>77</v>
      </c>
      <c r="C14" s="24" t="s">
        <v>238</v>
      </c>
      <c r="D14" s="27">
        <v>0.625</v>
      </c>
      <c r="E14" s="27">
        <v>0.95833333333333337</v>
      </c>
      <c r="F14" s="30">
        <v>35</v>
      </c>
      <c r="G14" s="33">
        <f>ROUND(H14*F14,2)</f>
        <v>280</v>
      </c>
      <c r="H14" s="24">
        <v>8</v>
      </c>
      <c r="I14" s="24"/>
      <c r="J14" s="24"/>
      <c r="K14" s="24" t="s">
        <v>20</v>
      </c>
      <c r="L14" s="24" t="s">
        <v>57</v>
      </c>
    </row>
    <row r="15" spans="1:12" ht="21.95" customHeight="1" x14ac:dyDescent="0.25">
      <c r="A15" s="22">
        <v>46098</v>
      </c>
      <c r="B15" s="25" t="s">
        <v>101</v>
      </c>
      <c r="C15" s="25" t="s">
        <v>238</v>
      </c>
      <c r="D15" s="28">
        <v>0.29166666666666669</v>
      </c>
      <c r="E15" s="28">
        <v>0.625</v>
      </c>
      <c r="F15" s="31">
        <v>35</v>
      </c>
      <c r="G15" s="34">
        <f>ROUND(H15*F15,2)</f>
        <v>280</v>
      </c>
      <c r="H15" s="25">
        <v>8</v>
      </c>
      <c r="I15" s="25"/>
      <c r="J15" s="25"/>
      <c r="K15" s="25" t="s">
        <v>20</v>
      </c>
      <c r="L15" s="25" t="s">
        <v>57</v>
      </c>
    </row>
    <row r="16" spans="1:12" ht="21.95" customHeight="1" x14ac:dyDescent="0.25">
      <c r="A16" s="22">
        <v>46098</v>
      </c>
      <c r="B16" s="25" t="s">
        <v>101</v>
      </c>
      <c r="C16" s="25" t="s">
        <v>238</v>
      </c>
      <c r="D16" s="28">
        <v>0.625</v>
      </c>
      <c r="E16" s="28">
        <v>0.95833333333333337</v>
      </c>
      <c r="F16" s="31">
        <v>35</v>
      </c>
      <c r="G16" s="34">
        <f>ROUND(H16*F16,2)</f>
        <v>280</v>
      </c>
      <c r="H16" s="25">
        <v>8</v>
      </c>
      <c r="I16" s="25"/>
      <c r="J16" s="25"/>
      <c r="K16" s="25" t="s">
        <v>20</v>
      </c>
      <c r="L16" s="25" t="s">
        <v>57</v>
      </c>
    </row>
    <row r="17" spans="1:12" ht="21.95" customHeight="1" x14ac:dyDescent="0.25">
      <c r="A17" s="22">
        <v>46099</v>
      </c>
      <c r="B17" s="25" t="s">
        <v>101</v>
      </c>
      <c r="C17" s="25" t="s">
        <v>238</v>
      </c>
      <c r="D17" s="28">
        <v>0.625</v>
      </c>
      <c r="E17" s="28">
        <v>0.95833333333333337</v>
      </c>
      <c r="F17" s="31">
        <v>35</v>
      </c>
      <c r="G17" s="34">
        <f>ROUND(H17*F17,2)</f>
        <v>280</v>
      </c>
      <c r="H17" s="25">
        <v>8</v>
      </c>
      <c r="I17" s="25"/>
      <c r="J17" s="25"/>
      <c r="K17" s="25" t="s">
        <v>20</v>
      </c>
      <c r="L17" s="25" t="s">
        <v>57</v>
      </c>
    </row>
    <row r="18" spans="1:12" ht="21.95" customHeight="1" x14ac:dyDescent="0.25">
      <c r="A18" s="22">
        <v>46100</v>
      </c>
      <c r="B18" s="25" t="s">
        <v>101</v>
      </c>
      <c r="C18" s="25" t="s">
        <v>238</v>
      </c>
      <c r="D18" s="28">
        <v>0.625</v>
      </c>
      <c r="E18" s="28">
        <v>0.95833333333333337</v>
      </c>
      <c r="F18" s="31">
        <v>35</v>
      </c>
      <c r="G18" s="34">
        <f>ROUND(H18*F18,2)</f>
        <v>280</v>
      </c>
      <c r="H18" s="25">
        <v>8</v>
      </c>
      <c r="I18" s="25"/>
      <c r="J18" s="25"/>
      <c r="K18" s="25" t="s">
        <v>20</v>
      </c>
      <c r="L18" s="25" t="s">
        <v>57</v>
      </c>
    </row>
    <row r="19" spans="1:12" ht="21.95" customHeight="1" x14ac:dyDescent="0.25">
      <c r="A19" s="22">
        <v>46101</v>
      </c>
      <c r="B19" s="25" t="s">
        <v>145</v>
      </c>
      <c r="C19" s="25" t="s">
        <v>238</v>
      </c>
      <c r="D19" s="28">
        <v>0.29166666666666669</v>
      </c>
      <c r="E19" s="28">
        <v>0.625</v>
      </c>
      <c r="F19" s="31">
        <v>35</v>
      </c>
      <c r="G19" s="34">
        <f>ROUND(H19*F19,2)</f>
        <v>280</v>
      </c>
      <c r="H19" s="25">
        <v>8</v>
      </c>
      <c r="I19" s="25"/>
      <c r="J19" s="25"/>
      <c r="K19" s="25" t="s">
        <v>20</v>
      </c>
      <c r="L19" s="25" t="s">
        <v>57</v>
      </c>
    </row>
    <row r="20" spans="1:12" ht="21.95" customHeight="1" x14ac:dyDescent="0.25">
      <c r="A20" s="22">
        <v>46102</v>
      </c>
      <c r="B20" s="25" t="s">
        <v>77</v>
      </c>
      <c r="C20" s="25" t="s">
        <v>238</v>
      </c>
      <c r="D20" s="28">
        <v>0.29166666666666669</v>
      </c>
      <c r="E20" s="28">
        <v>0.625</v>
      </c>
      <c r="F20" s="31">
        <v>35</v>
      </c>
      <c r="G20" s="34">
        <f>ROUND(H20*F20,2)</f>
        <v>280</v>
      </c>
      <c r="H20" s="25">
        <v>8</v>
      </c>
      <c r="I20" s="25"/>
      <c r="J20" s="25"/>
      <c r="K20" s="25" t="s">
        <v>20</v>
      </c>
      <c r="L20" s="25" t="s">
        <v>57</v>
      </c>
    </row>
    <row r="21" spans="1:12" ht="21.95" customHeight="1" x14ac:dyDescent="0.25">
      <c r="A21" s="22">
        <v>46103</v>
      </c>
      <c r="B21" s="25" t="s">
        <v>162</v>
      </c>
      <c r="C21" s="25" t="s">
        <v>238</v>
      </c>
      <c r="D21" s="28">
        <v>0.29166666666666669</v>
      </c>
      <c r="E21" s="28">
        <v>0.625</v>
      </c>
      <c r="F21" s="31">
        <v>35</v>
      </c>
      <c r="G21" s="34">
        <f>ROUND(H21*F21,2)</f>
        <v>280</v>
      </c>
      <c r="H21" s="25">
        <v>8</v>
      </c>
      <c r="I21" s="25"/>
      <c r="J21" s="25"/>
      <c r="K21" s="25" t="s">
        <v>20</v>
      </c>
      <c r="L21" s="25" t="s">
        <v>57</v>
      </c>
    </row>
    <row r="22" spans="1:12" ht="21.95" customHeight="1" x14ac:dyDescent="0.25">
      <c r="A22" s="22">
        <v>46104</v>
      </c>
      <c r="B22" s="25" t="s">
        <v>101</v>
      </c>
      <c r="C22" s="25" t="s">
        <v>238</v>
      </c>
      <c r="D22" s="28">
        <v>0.625</v>
      </c>
      <c r="E22" s="28">
        <v>0.95833333333333337</v>
      </c>
      <c r="F22" s="31">
        <v>35</v>
      </c>
      <c r="G22" s="34">
        <f>ROUND(H22*F22,2)</f>
        <v>280</v>
      </c>
      <c r="H22" s="25">
        <v>8</v>
      </c>
      <c r="I22" s="25"/>
      <c r="J22" s="25"/>
      <c r="K22" s="25" t="s">
        <v>20</v>
      </c>
      <c r="L22" s="25" t="s">
        <v>57</v>
      </c>
    </row>
    <row r="23" spans="1:12" ht="21.95" customHeight="1" x14ac:dyDescent="0.25">
      <c r="A23" s="22">
        <v>46105</v>
      </c>
      <c r="B23" s="25" t="s">
        <v>77</v>
      </c>
      <c r="C23" s="25" t="s">
        <v>238</v>
      </c>
      <c r="D23" s="28">
        <v>0.29166666666666669</v>
      </c>
      <c r="E23" s="28">
        <v>0.625</v>
      </c>
      <c r="F23" s="31">
        <v>35</v>
      </c>
      <c r="G23" s="34">
        <f>ROUND(H23*F23,2)</f>
        <v>280</v>
      </c>
      <c r="H23" s="25">
        <v>8</v>
      </c>
      <c r="I23" s="25"/>
      <c r="J23" s="25"/>
      <c r="K23" s="25" t="s">
        <v>20</v>
      </c>
      <c r="L23" s="25" t="s">
        <v>57</v>
      </c>
    </row>
    <row r="24" spans="1:12" ht="21.95" customHeight="1" x14ac:dyDescent="0.25">
      <c r="A24" s="22">
        <v>46105</v>
      </c>
      <c r="B24" s="25" t="s">
        <v>101</v>
      </c>
      <c r="C24" s="25" t="s">
        <v>238</v>
      </c>
      <c r="D24" s="28">
        <v>0.625</v>
      </c>
      <c r="E24" s="28">
        <v>0.95833333333333337</v>
      </c>
      <c r="F24" s="31">
        <v>35</v>
      </c>
      <c r="G24" s="34">
        <f>ROUND(H24*F24,2)</f>
        <v>280</v>
      </c>
      <c r="H24" s="25">
        <v>8</v>
      </c>
      <c r="I24" s="25"/>
      <c r="J24" s="25"/>
      <c r="K24" s="25" t="s">
        <v>20</v>
      </c>
      <c r="L24" s="25" t="s">
        <v>57</v>
      </c>
    </row>
    <row r="25" spans="1:12" ht="21.95" customHeight="1" x14ac:dyDescent="0.25">
      <c r="A25" s="22">
        <v>46106</v>
      </c>
      <c r="B25" s="25" t="s">
        <v>77</v>
      </c>
      <c r="C25" s="25" t="s">
        <v>238</v>
      </c>
      <c r="D25" s="28">
        <v>0.64583333333333337</v>
      </c>
      <c r="E25" s="28">
        <v>0.95833333333333337</v>
      </c>
      <c r="F25" s="31">
        <v>35</v>
      </c>
      <c r="G25" s="34">
        <f>ROUND(H25*F25,2)</f>
        <v>262.5</v>
      </c>
      <c r="H25" s="25">
        <v>7.5</v>
      </c>
      <c r="I25" s="25"/>
      <c r="J25" s="25"/>
      <c r="K25" s="25" t="s">
        <v>39</v>
      </c>
      <c r="L25" s="25" t="s">
        <v>57</v>
      </c>
    </row>
    <row r="26" spans="1:12" ht="21.95" customHeight="1" x14ac:dyDescent="0.25">
      <c r="A26" s="22">
        <v>46107</v>
      </c>
      <c r="B26" s="25" t="s">
        <v>101</v>
      </c>
      <c r="C26" s="25" t="s">
        <v>238</v>
      </c>
      <c r="D26" s="28">
        <v>0.625</v>
      </c>
      <c r="E26" s="28">
        <v>0.95833333333333337</v>
      </c>
      <c r="F26" s="31">
        <v>35</v>
      </c>
      <c r="G26" s="34">
        <f>ROUND(H26*F26,2)</f>
        <v>280</v>
      </c>
      <c r="H26" s="25">
        <v>8</v>
      </c>
      <c r="I26" s="25"/>
      <c r="J26" s="25"/>
      <c r="K26" s="25" t="s">
        <v>106</v>
      </c>
      <c r="L26" s="25" t="s">
        <v>57</v>
      </c>
    </row>
    <row r="27" spans="1:12" ht="21.95" customHeight="1" x14ac:dyDescent="0.25">
      <c r="A27" s="22">
        <v>46108</v>
      </c>
      <c r="B27" s="25" t="s">
        <v>77</v>
      </c>
      <c r="C27" s="25" t="s">
        <v>238</v>
      </c>
      <c r="D27" s="28">
        <v>0.29166666666666669</v>
      </c>
      <c r="E27" s="28">
        <v>0.625</v>
      </c>
      <c r="F27" s="31">
        <v>35</v>
      </c>
      <c r="G27" s="34">
        <f>ROUND(H27*F27,2)</f>
        <v>280</v>
      </c>
      <c r="H27" s="25">
        <v>8</v>
      </c>
      <c r="I27" s="25"/>
      <c r="J27" s="25"/>
      <c r="K27" s="25" t="s">
        <v>20</v>
      </c>
      <c r="L27" s="25" t="s">
        <v>57</v>
      </c>
    </row>
    <row r="28" spans="1:12" ht="21.95" customHeight="1" x14ac:dyDescent="0.25">
      <c r="A28" s="22">
        <v>46108</v>
      </c>
      <c r="B28" s="25" t="s">
        <v>145</v>
      </c>
      <c r="C28" s="25" t="s">
        <v>238</v>
      </c>
      <c r="D28" s="28">
        <v>0.5</v>
      </c>
      <c r="E28" s="28">
        <v>0.83333333333333337</v>
      </c>
      <c r="F28" s="31">
        <v>35</v>
      </c>
      <c r="G28" s="34">
        <f>ROUND(H28*F28,2)</f>
        <v>280</v>
      </c>
      <c r="H28" s="25">
        <v>8</v>
      </c>
      <c r="I28" s="25"/>
      <c r="J28" s="25"/>
      <c r="K28" s="25" t="s">
        <v>20</v>
      </c>
      <c r="L28" s="25" t="s">
        <v>57</v>
      </c>
    </row>
    <row r="29" spans="1:12" ht="21.95" customHeight="1" x14ac:dyDescent="0.25">
      <c r="A29" s="22">
        <v>46108</v>
      </c>
      <c r="B29" s="25" t="s">
        <v>145</v>
      </c>
      <c r="C29" s="25" t="s">
        <v>238</v>
      </c>
      <c r="D29" s="28">
        <v>0.95833333333333337</v>
      </c>
      <c r="E29" s="28">
        <v>0.29166666666666669</v>
      </c>
      <c r="F29" s="31">
        <v>35</v>
      </c>
      <c r="G29" s="34">
        <f>ROUND(H29*F29,2)</f>
        <v>280</v>
      </c>
      <c r="H29" s="25">
        <v>8</v>
      </c>
      <c r="I29" s="25"/>
      <c r="J29" s="25"/>
      <c r="K29" s="25" t="s">
        <v>20</v>
      </c>
      <c r="L29" s="25" t="s">
        <v>30</v>
      </c>
    </row>
    <row r="30" spans="1:12" ht="21.95" customHeight="1" x14ac:dyDescent="0.25">
      <c r="A30" s="22">
        <v>46109</v>
      </c>
      <c r="B30" s="25" t="s">
        <v>77</v>
      </c>
      <c r="C30" s="25" t="s">
        <v>238</v>
      </c>
      <c r="D30" s="28">
        <v>0.625</v>
      </c>
      <c r="E30" s="28">
        <v>0.95833333333333337</v>
      </c>
      <c r="F30" s="31">
        <v>35</v>
      </c>
      <c r="G30" s="34">
        <f>ROUND(H30*F30,2)</f>
        <v>280</v>
      </c>
      <c r="H30" s="25">
        <v>8</v>
      </c>
      <c r="I30" s="25"/>
      <c r="J30" s="25"/>
      <c r="K30" s="25" t="s">
        <v>106</v>
      </c>
      <c r="L30" s="25" t="s">
        <v>57</v>
      </c>
    </row>
    <row r="31" spans="1:12" ht="21.95" customHeight="1" x14ac:dyDescent="0.25">
      <c r="A31" s="22">
        <v>46109</v>
      </c>
      <c r="B31" s="25" t="s">
        <v>101</v>
      </c>
      <c r="C31" s="25" t="s">
        <v>238</v>
      </c>
      <c r="D31" s="28">
        <v>0.29166666666666669</v>
      </c>
      <c r="E31" s="28">
        <v>0.625</v>
      </c>
      <c r="F31" s="31">
        <v>35</v>
      </c>
      <c r="G31" s="34">
        <f>ROUND(H31*F31,2)</f>
        <v>280</v>
      </c>
      <c r="H31" s="25">
        <v>8</v>
      </c>
      <c r="I31" s="25"/>
      <c r="J31" s="25"/>
      <c r="K31" s="25" t="s">
        <v>20</v>
      </c>
      <c r="L31" s="25" t="s">
        <v>57</v>
      </c>
    </row>
    <row r="32" spans="1:12" ht="21.95" customHeight="1" x14ac:dyDescent="0.25">
      <c r="A32" s="22">
        <v>46110</v>
      </c>
      <c r="B32" s="25" t="s">
        <v>77</v>
      </c>
      <c r="C32" s="25" t="s">
        <v>238</v>
      </c>
      <c r="D32" s="28">
        <v>0.625</v>
      </c>
      <c r="E32" s="28">
        <v>0.95833333333333337</v>
      </c>
      <c r="F32" s="31">
        <v>35</v>
      </c>
      <c r="G32" s="34">
        <f>ROUND(H32*F32,2)</f>
        <v>280</v>
      </c>
      <c r="H32" s="25">
        <v>8</v>
      </c>
      <c r="I32" s="25"/>
      <c r="J32" s="25"/>
      <c r="K32" s="25" t="s">
        <v>20</v>
      </c>
      <c r="L32" s="25" t="s">
        <v>23</v>
      </c>
    </row>
    <row r="33" spans="1:12" ht="21.95" customHeight="1" thickBot="1" x14ac:dyDescent="0.3">
      <c r="A33" s="23">
        <v>46110</v>
      </c>
      <c r="B33" s="26" t="s">
        <v>101</v>
      </c>
      <c r="C33" s="26" t="s">
        <v>238</v>
      </c>
      <c r="D33" s="29">
        <v>0.29166666666666669</v>
      </c>
      <c r="E33" s="29">
        <v>0.625</v>
      </c>
      <c r="F33" s="32">
        <v>35</v>
      </c>
      <c r="G33" s="35">
        <f>ROUND(H33*F33,2)</f>
        <v>280</v>
      </c>
      <c r="H33" s="26">
        <v>8</v>
      </c>
      <c r="I33" s="26"/>
      <c r="J33" s="26"/>
      <c r="K33" s="26" t="s">
        <v>20</v>
      </c>
      <c r="L33" s="26" t="s">
        <v>23</v>
      </c>
    </row>
    <row r="34" spans="1:12" s="3" customFormat="1" ht="21.95" customHeight="1" thickBot="1" x14ac:dyDescent="0.3">
      <c r="A34" s="6"/>
      <c r="B34" s="7" t="s">
        <v>217</v>
      </c>
      <c r="C34" s="7"/>
      <c r="D34" s="20"/>
      <c r="E34" s="20"/>
      <c r="F34" s="8"/>
      <c r="G34" s="9">
        <f>SUM(G14:G33)</f>
        <v>5582.5</v>
      </c>
      <c r="H34" s="7">
        <f>SUM(H14:H33)</f>
        <v>159.5</v>
      </c>
      <c r="I34" s="7"/>
      <c r="J34" s="7"/>
      <c r="K34" s="7"/>
      <c r="L34" s="7"/>
    </row>
    <row r="35" spans="1:12" ht="21.95" customHeight="1" thickBot="1" x14ac:dyDescent="0.3">
      <c r="F35" s="8" t="s">
        <v>218</v>
      </c>
      <c r="G35" s="9">
        <f>ROUND(SUMIF(B14:B34,"Subtotal for Unit*",G14:G34),2)</f>
        <v>5582.5</v>
      </c>
      <c r="H35" s="7">
        <f>ROUND(SUMIF(B14:B34,"Subtotal for Unit*",H14:H34),2)</f>
        <v>159.5</v>
      </c>
    </row>
    <row r="36" spans="1:12" ht="21.95" customHeight="1" thickBot="1" x14ac:dyDescent="0.3">
      <c r="F36" s="8" t="s">
        <v>219</v>
      </c>
      <c r="G36" s="9">
        <f>ROUND(G35*0.13,2)</f>
        <v>725.73</v>
      </c>
      <c r="H36" s="7"/>
    </row>
    <row r="37" spans="1:12" ht="21.95" customHeight="1" thickBot="1" x14ac:dyDescent="0.3">
      <c r="F37" s="8" t="s">
        <v>220</v>
      </c>
      <c r="G37" s="9">
        <f>G35+G36</f>
        <v>6308.23</v>
      </c>
      <c r="H37" s="7"/>
    </row>
    <row r="39" spans="1:12" ht="21.95" customHeight="1" x14ac:dyDescent="0.25">
      <c r="A39" s="42" t="s">
        <v>221</v>
      </c>
      <c r="B39" s="37" t="s">
        <v>222</v>
      </c>
      <c r="C39" s="37" t="s">
        <v>223</v>
      </c>
      <c r="D39" s="37"/>
      <c r="E39" s="37"/>
      <c r="F39" s="38"/>
      <c r="G39" s="39"/>
      <c r="H39" s="37"/>
      <c r="I39" s="37"/>
    </row>
    <row r="40" spans="1:12" ht="21.95" customHeight="1" x14ac:dyDescent="0.25">
      <c r="A40" s="36"/>
      <c r="B40" s="37" t="s">
        <v>224</v>
      </c>
      <c r="C40" s="37" t="s">
        <v>225</v>
      </c>
      <c r="D40" s="37"/>
      <c r="E40" s="37"/>
      <c r="F40" s="38"/>
      <c r="G40" s="39"/>
      <c r="H40" s="37"/>
      <c r="I40" s="37"/>
    </row>
    <row r="41" spans="1:12" ht="21.95" customHeight="1" x14ac:dyDescent="0.25">
      <c r="A41" s="36"/>
      <c r="B41" s="37" t="s">
        <v>226</v>
      </c>
      <c r="C41" s="37" t="s">
        <v>227</v>
      </c>
      <c r="D41" s="37"/>
      <c r="E41" s="37"/>
      <c r="F41" s="38"/>
      <c r="G41" s="39"/>
      <c r="H41" s="37"/>
      <c r="I41" s="37"/>
    </row>
    <row r="42" spans="1:12" ht="21.95" customHeight="1" x14ac:dyDescent="0.25">
      <c r="A42" s="36"/>
      <c r="B42" s="37" t="s">
        <v>228</v>
      </c>
      <c r="C42" s="37" t="s">
        <v>229</v>
      </c>
      <c r="D42" s="37"/>
      <c r="E42" s="37"/>
      <c r="F42" s="38"/>
      <c r="G42" s="39"/>
      <c r="H42" s="37"/>
      <c r="I42" s="37"/>
    </row>
    <row r="43" spans="1:12" ht="21.95" customHeight="1" x14ac:dyDescent="0.25">
      <c r="A43" s="36"/>
      <c r="B43" s="37"/>
      <c r="C43" s="37"/>
      <c r="D43" s="37"/>
      <c r="E43" s="37"/>
      <c r="F43" s="38"/>
      <c r="G43" s="39"/>
      <c r="H43" s="37"/>
      <c r="I43" s="37"/>
    </row>
    <row r="44" spans="1:12" ht="21.95" customHeight="1" x14ac:dyDescent="0.25">
      <c r="A44" s="42" t="s">
        <v>230</v>
      </c>
      <c r="B44" s="37"/>
      <c r="C44" s="37"/>
      <c r="D44" s="37"/>
      <c r="E44" s="37"/>
      <c r="F44" s="38"/>
      <c r="G44" s="39"/>
      <c r="H44" s="37"/>
      <c r="I44" s="37"/>
    </row>
    <row r="45" spans="1:12" ht="21.95" customHeight="1" x14ac:dyDescent="0.25">
      <c r="A45" s="42" t="s">
        <v>231</v>
      </c>
      <c r="B45" s="37"/>
      <c r="C45" s="37"/>
      <c r="D45" s="37"/>
      <c r="E45" s="37"/>
      <c r="F45" s="38"/>
      <c r="G45" s="39"/>
      <c r="H45" s="37"/>
      <c r="I45" s="37"/>
    </row>
    <row r="46" spans="1:12" ht="21.95" customHeight="1" x14ac:dyDescent="0.25">
      <c r="A46" s="42" t="s">
        <v>232</v>
      </c>
      <c r="B46" s="37"/>
      <c r="C46" s="37"/>
      <c r="D46" s="37"/>
      <c r="E46" s="37"/>
      <c r="F46" s="38"/>
      <c r="G46" s="39"/>
      <c r="H46" s="37"/>
      <c r="I46" s="37"/>
    </row>
    <row r="47" spans="1:12" ht="21.95" customHeight="1" x14ac:dyDescent="0.25">
      <c r="A47" s="42" t="s">
        <v>233</v>
      </c>
      <c r="B47" s="37"/>
      <c r="C47" s="37"/>
      <c r="D47" s="37"/>
      <c r="E47" s="37"/>
      <c r="F47" s="38"/>
      <c r="G47" s="39"/>
      <c r="H47" s="37"/>
      <c r="I47" s="37"/>
    </row>
    <row r="48" spans="1:12" ht="21.95" customHeight="1" x14ac:dyDescent="0.25">
      <c r="A48" s="42"/>
      <c r="B48" s="37"/>
      <c r="C48" s="40" t="s">
        <v>234</v>
      </c>
      <c r="D48" s="37"/>
      <c r="E48" s="37"/>
      <c r="F48" s="38"/>
      <c r="G48" s="39"/>
      <c r="H48" s="37"/>
      <c r="I48" s="37"/>
    </row>
    <row r="49" spans="1:9" ht="21.95" customHeight="1" x14ac:dyDescent="0.25">
      <c r="A49" s="42" t="s">
        <v>235</v>
      </c>
      <c r="B49" s="41" t="s">
        <v>236</v>
      </c>
      <c r="C49" s="37"/>
      <c r="D49" s="37"/>
      <c r="E49" s="37"/>
      <c r="F49" s="38"/>
      <c r="G49" s="39"/>
      <c r="H49" s="37"/>
      <c r="I49" s="37"/>
    </row>
  </sheetData>
  <sortState xmlns:xlrd2="http://schemas.microsoft.com/office/spreadsheetml/2017/richdata2" ref="A14:L33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  <rowBreaks count="1" manualBreakCount="1">
    <brk id="41" max="8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L31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239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x14ac:dyDescent="0.25">
      <c r="A14" s="21">
        <v>46097</v>
      </c>
      <c r="B14" s="24" t="s">
        <v>90</v>
      </c>
      <c r="C14" s="24" t="s">
        <v>239</v>
      </c>
      <c r="D14" s="27">
        <v>0.91666666666666663</v>
      </c>
      <c r="E14" s="27">
        <v>0.35416666666666669</v>
      </c>
      <c r="F14" s="30">
        <v>31.17</v>
      </c>
      <c r="G14" s="33">
        <f>ROUND(H14*F14,2)</f>
        <v>327.29000000000002</v>
      </c>
      <c r="H14" s="24">
        <v>10.5</v>
      </c>
      <c r="I14" s="24"/>
      <c r="J14" s="24"/>
      <c r="K14" s="24" t="s">
        <v>92</v>
      </c>
      <c r="L14" s="24" t="s">
        <v>57</v>
      </c>
    </row>
    <row r="15" spans="1:12" ht="21.95" customHeight="1" thickBot="1" x14ac:dyDescent="0.3">
      <c r="A15" s="23">
        <v>46103</v>
      </c>
      <c r="B15" s="26" t="s">
        <v>64</v>
      </c>
      <c r="C15" s="26" t="s">
        <v>239</v>
      </c>
      <c r="D15" s="29">
        <v>0.91666666666666663</v>
      </c>
      <c r="E15" s="29">
        <v>0.375</v>
      </c>
      <c r="F15" s="32">
        <v>31.17</v>
      </c>
      <c r="G15" s="35">
        <f>ROUND(H15*F15,2)</f>
        <v>342.87</v>
      </c>
      <c r="H15" s="26">
        <v>11</v>
      </c>
      <c r="I15" s="26"/>
      <c r="J15" s="26"/>
      <c r="K15" s="26" t="s">
        <v>168</v>
      </c>
      <c r="L15" s="26" t="s">
        <v>57</v>
      </c>
    </row>
    <row r="16" spans="1:12" s="3" customFormat="1" ht="21.95" customHeight="1" thickBot="1" x14ac:dyDescent="0.3">
      <c r="A16" s="6"/>
      <c r="B16" s="7" t="s">
        <v>217</v>
      </c>
      <c r="C16" s="7"/>
      <c r="D16" s="20"/>
      <c r="E16" s="20"/>
      <c r="F16" s="8"/>
      <c r="G16" s="9">
        <f>SUM(G14:G15)</f>
        <v>670.16000000000008</v>
      </c>
      <c r="H16" s="7">
        <f>SUM(H14:H15)</f>
        <v>21.5</v>
      </c>
      <c r="I16" s="7"/>
      <c r="J16" s="7"/>
      <c r="K16" s="7"/>
      <c r="L16" s="7"/>
    </row>
    <row r="17" spans="1:9" ht="21.95" customHeight="1" thickBot="1" x14ac:dyDescent="0.3">
      <c r="F17" s="8" t="s">
        <v>218</v>
      </c>
      <c r="G17" s="9">
        <f>ROUND(SUMIF(B14:B16,"Subtotal for Unit*",G14:G16),2)</f>
        <v>670.16</v>
      </c>
      <c r="H17" s="7">
        <f>ROUND(SUMIF(B14:B16,"Subtotal for Unit*",H14:H16),2)</f>
        <v>21.5</v>
      </c>
    </row>
    <row r="18" spans="1:9" ht="21.95" customHeight="1" thickBot="1" x14ac:dyDescent="0.3">
      <c r="F18" s="8" t="s">
        <v>219</v>
      </c>
      <c r="G18" s="9">
        <f>ROUND(G17*0.13,2)</f>
        <v>87.12</v>
      </c>
      <c r="H18" s="7"/>
    </row>
    <row r="19" spans="1:9" ht="21.95" customHeight="1" thickBot="1" x14ac:dyDescent="0.3">
      <c r="F19" s="8" t="s">
        <v>220</v>
      </c>
      <c r="G19" s="9">
        <f>G17+G18</f>
        <v>757.28</v>
      </c>
      <c r="H19" s="7"/>
    </row>
    <row r="21" spans="1:9" ht="21.95" customHeight="1" x14ac:dyDescent="0.25">
      <c r="A21" s="42" t="s">
        <v>221</v>
      </c>
      <c r="B21" s="37" t="s">
        <v>222</v>
      </c>
      <c r="C21" s="37" t="s">
        <v>223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224</v>
      </c>
      <c r="C22" s="37" t="s">
        <v>225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226</v>
      </c>
      <c r="C23" s="37" t="s">
        <v>227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 t="s">
        <v>228</v>
      </c>
      <c r="C24" s="37" t="s">
        <v>229</v>
      </c>
      <c r="D24" s="37"/>
      <c r="E24" s="37"/>
      <c r="F24" s="38"/>
      <c r="G24" s="39"/>
      <c r="H24" s="37"/>
      <c r="I24" s="37"/>
    </row>
    <row r="25" spans="1:9" ht="21.95" customHeight="1" x14ac:dyDescent="0.25">
      <c r="A25" s="36"/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230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231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232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 t="s">
        <v>233</v>
      </c>
      <c r="B29" s="37"/>
      <c r="C29" s="37"/>
      <c r="D29" s="37"/>
      <c r="E29" s="37"/>
      <c r="F29" s="38"/>
      <c r="G29" s="39"/>
      <c r="H29" s="37"/>
      <c r="I29" s="37"/>
    </row>
    <row r="30" spans="1:9" ht="21.95" customHeight="1" x14ac:dyDescent="0.25">
      <c r="A30" s="42"/>
      <c r="B30" s="37"/>
      <c r="C30" s="40" t="s">
        <v>234</v>
      </c>
      <c r="D30" s="37"/>
      <c r="E30" s="37"/>
      <c r="F30" s="38"/>
      <c r="G30" s="39"/>
      <c r="H30" s="37"/>
      <c r="I30" s="37"/>
    </row>
    <row r="31" spans="1:9" ht="21.95" customHeight="1" x14ac:dyDescent="0.25">
      <c r="A31" s="42" t="s">
        <v>235</v>
      </c>
      <c r="B31" s="41" t="s">
        <v>236</v>
      </c>
      <c r="C31" s="37"/>
      <c r="D31" s="37"/>
      <c r="E31" s="37"/>
      <c r="F31" s="38"/>
      <c r="G31" s="39"/>
      <c r="H31" s="37"/>
      <c r="I31" s="37"/>
    </row>
  </sheetData>
  <sortState xmlns:xlrd2="http://schemas.microsoft.com/office/spreadsheetml/2017/richdata2" ref="A14:L15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L30"/>
  <sheetViews>
    <sheetView workbookViewId="0">
      <selection activeCell="A14" sqref="A14:N14"/>
    </sheetView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250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46108</v>
      </c>
      <c r="B14" s="11" t="s">
        <v>64</v>
      </c>
      <c r="C14" s="11" t="s">
        <v>250</v>
      </c>
      <c r="D14" s="43">
        <v>0.91666666666666663</v>
      </c>
      <c r="E14" s="43">
        <v>0.375</v>
      </c>
      <c r="F14" s="12">
        <v>31.17</v>
      </c>
      <c r="G14" s="13">
        <f>ROUND(H14*F14,2)</f>
        <v>342.87</v>
      </c>
      <c r="H14" s="11">
        <v>11</v>
      </c>
      <c r="I14" s="11"/>
      <c r="J14" s="11"/>
      <c r="K14" s="11" t="s">
        <v>168</v>
      </c>
      <c r="L14" s="11" t="s">
        <v>23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342.87</v>
      </c>
      <c r="H15" s="7">
        <f>SUM(H14)</f>
        <v>11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342.87</v>
      </c>
      <c r="H16" s="7">
        <f>ROUND(SUMIF(B14:B15,"Subtotal for Unit*",H14:H15),2)</f>
        <v>11</v>
      </c>
    </row>
    <row r="17" spans="1:9" ht="21.95" customHeight="1" thickBot="1" x14ac:dyDescent="0.3">
      <c r="F17" s="8" t="s">
        <v>219</v>
      </c>
      <c r="G17" s="9">
        <f>ROUND(G16*0.13,2)</f>
        <v>44.57</v>
      </c>
      <c r="H17" s="7"/>
    </row>
    <row r="18" spans="1:9" ht="21.95" customHeight="1" thickBot="1" x14ac:dyDescent="0.3">
      <c r="F18" s="8" t="s">
        <v>220</v>
      </c>
      <c r="G18" s="9">
        <f>G16+G17</f>
        <v>387.44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L33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240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x14ac:dyDescent="0.25">
      <c r="A14" s="21">
        <v>46099</v>
      </c>
      <c r="B14" s="24" t="s">
        <v>126</v>
      </c>
      <c r="C14" s="24" t="s">
        <v>240</v>
      </c>
      <c r="D14" s="27">
        <v>0.29166666666666669</v>
      </c>
      <c r="E14" s="27">
        <v>0.45833333333333331</v>
      </c>
      <c r="F14" s="30">
        <v>31.42</v>
      </c>
      <c r="G14" s="33">
        <f>ROUND(H14*F14,2)</f>
        <v>125.68</v>
      </c>
      <c r="H14" s="24">
        <v>4</v>
      </c>
      <c r="I14" s="24"/>
      <c r="J14" s="24"/>
      <c r="K14" s="24" t="s">
        <v>16</v>
      </c>
      <c r="L14" s="24" t="s">
        <v>17</v>
      </c>
    </row>
    <row r="15" spans="1:12" ht="21.95" customHeight="1" x14ac:dyDescent="0.25">
      <c r="A15" s="22">
        <v>46102</v>
      </c>
      <c r="B15" s="25" t="s">
        <v>139</v>
      </c>
      <c r="C15" s="25" t="s">
        <v>240</v>
      </c>
      <c r="D15" s="28">
        <v>0.79166666666666663</v>
      </c>
      <c r="E15" s="28">
        <v>0.95833333333333337</v>
      </c>
      <c r="F15" s="31">
        <v>31.42</v>
      </c>
      <c r="G15" s="34">
        <f>ROUND(H15*F15,2)</f>
        <v>125.68</v>
      </c>
      <c r="H15" s="25">
        <v>4</v>
      </c>
      <c r="I15" s="25"/>
      <c r="J15" s="25"/>
      <c r="K15" s="25" t="s">
        <v>16</v>
      </c>
      <c r="L15" s="25" t="s">
        <v>17</v>
      </c>
    </row>
    <row r="16" spans="1:12" ht="21.95" customHeight="1" x14ac:dyDescent="0.25">
      <c r="A16" s="22">
        <v>46103</v>
      </c>
      <c r="B16" s="25" t="s">
        <v>126</v>
      </c>
      <c r="C16" s="25" t="s">
        <v>240</v>
      </c>
      <c r="D16" s="28">
        <v>0.66666666666666663</v>
      </c>
      <c r="E16" s="28">
        <v>0.95833333333333337</v>
      </c>
      <c r="F16" s="31">
        <v>31.42</v>
      </c>
      <c r="G16" s="34">
        <f>ROUND(H16*F16,2)</f>
        <v>219.94</v>
      </c>
      <c r="H16" s="25">
        <v>7</v>
      </c>
      <c r="I16" s="25"/>
      <c r="J16" s="25"/>
      <c r="K16" s="25" t="s">
        <v>56</v>
      </c>
      <c r="L16" s="25" t="s">
        <v>17</v>
      </c>
    </row>
    <row r="17" spans="1:12" ht="21.95" customHeight="1" thickBot="1" x14ac:dyDescent="0.3">
      <c r="A17" s="23">
        <v>46108</v>
      </c>
      <c r="B17" s="26" t="s">
        <v>114</v>
      </c>
      <c r="C17" s="26" t="s">
        <v>240</v>
      </c>
      <c r="D17" s="29">
        <v>0.29166666666666669</v>
      </c>
      <c r="E17" s="29">
        <v>0.45833333333333331</v>
      </c>
      <c r="F17" s="32">
        <v>31.42</v>
      </c>
      <c r="G17" s="35">
        <f>ROUND(H17*F17,2)</f>
        <v>125.68</v>
      </c>
      <c r="H17" s="26">
        <v>4</v>
      </c>
      <c r="I17" s="26"/>
      <c r="J17" s="26"/>
      <c r="K17" s="26" t="s">
        <v>16</v>
      </c>
      <c r="L17" s="26" t="s">
        <v>17</v>
      </c>
    </row>
    <row r="18" spans="1:12" s="3" customFormat="1" ht="21.95" customHeight="1" thickBot="1" x14ac:dyDescent="0.3">
      <c r="A18" s="6"/>
      <c r="B18" s="7" t="s">
        <v>217</v>
      </c>
      <c r="C18" s="7"/>
      <c r="D18" s="20"/>
      <c r="E18" s="20"/>
      <c r="F18" s="8"/>
      <c r="G18" s="9">
        <f>SUM(G14:G17)</f>
        <v>596.98</v>
      </c>
      <c r="H18" s="7">
        <f>SUM(H14:H17)</f>
        <v>19</v>
      </c>
      <c r="I18" s="7"/>
      <c r="J18" s="7"/>
      <c r="K18" s="7"/>
      <c r="L18" s="7"/>
    </row>
    <row r="19" spans="1:12" ht="21.95" customHeight="1" thickBot="1" x14ac:dyDescent="0.3">
      <c r="F19" s="8" t="s">
        <v>218</v>
      </c>
      <c r="G19" s="9">
        <f>ROUND(SUMIF(B14:B18,"Subtotal for Unit*",G14:G18),2)</f>
        <v>596.98</v>
      </c>
      <c r="H19" s="7">
        <f>ROUND(SUMIF(B14:B18,"Subtotal for Unit*",H14:H18),2)</f>
        <v>19</v>
      </c>
    </row>
    <row r="20" spans="1:12" ht="21.95" customHeight="1" thickBot="1" x14ac:dyDescent="0.3">
      <c r="F20" s="8" t="s">
        <v>219</v>
      </c>
      <c r="G20" s="9">
        <f>ROUND(G19*0.13,2)</f>
        <v>77.61</v>
      </c>
      <c r="H20" s="7"/>
    </row>
    <row r="21" spans="1:12" ht="21.95" customHeight="1" thickBot="1" x14ac:dyDescent="0.3">
      <c r="F21" s="8" t="s">
        <v>220</v>
      </c>
      <c r="G21" s="9">
        <f>G19+G20</f>
        <v>674.59</v>
      </c>
      <c r="H21" s="7"/>
    </row>
    <row r="23" spans="1:12" ht="21.95" customHeight="1" x14ac:dyDescent="0.25">
      <c r="A23" s="42" t="s">
        <v>221</v>
      </c>
      <c r="B23" s="37" t="s">
        <v>222</v>
      </c>
      <c r="C23" s="37" t="s">
        <v>223</v>
      </c>
      <c r="D23" s="37"/>
      <c r="E23" s="37"/>
      <c r="F23" s="38"/>
      <c r="G23" s="39"/>
      <c r="H23" s="37"/>
      <c r="I23" s="37"/>
    </row>
    <row r="24" spans="1:12" ht="21.95" customHeight="1" x14ac:dyDescent="0.25">
      <c r="A24" s="36"/>
      <c r="B24" s="37" t="s">
        <v>224</v>
      </c>
      <c r="C24" s="37" t="s">
        <v>225</v>
      </c>
      <c r="D24" s="37"/>
      <c r="E24" s="37"/>
      <c r="F24" s="38"/>
      <c r="G24" s="39"/>
      <c r="H24" s="37"/>
      <c r="I24" s="37"/>
    </row>
    <row r="25" spans="1:12" ht="21.95" customHeight="1" x14ac:dyDescent="0.25">
      <c r="A25" s="36"/>
      <c r="B25" s="37" t="s">
        <v>226</v>
      </c>
      <c r="C25" s="37" t="s">
        <v>227</v>
      </c>
      <c r="D25" s="37"/>
      <c r="E25" s="37"/>
      <c r="F25" s="38"/>
      <c r="G25" s="39"/>
      <c r="H25" s="37"/>
      <c r="I25" s="37"/>
    </row>
    <row r="26" spans="1:12" ht="21.95" customHeight="1" x14ac:dyDescent="0.25">
      <c r="A26" s="36"/>
      <c r="B26" s="37" t="s">
        <v>228</v>
      </c>
      <c r="C26" s="37" t="s">
        <v>229</v>
      </c>
      <c r="D26" s="37"/>
      <c r="E26" s="37"/>
      <c r="F26" s="38"/>
      <c r="G26" s="39"/>
      <c r="H26" s="37"/>
      <c r="I26" s="37"/>
    </row>
    <row r="27" spans="1:12" ht="21.95" customHeight="1" x14ac:dyDescent="0.25">
      <c r="A27" s="36"/>
      <c r="B27" s="37"/>
      <c r="C27" s="37"/>
      <c r="D27" s="37"/>
      <c r="E27" s="37"/>
      <c r="F27" s="38"/>
      <c r="G27" s="39"/>
      <c r="H27" s="37"/>
      <c r="I27" s="37"/>
    </row>
    <row r="28" spans="1:12" ht="21.95" customHeight="1" x14ac:dyDescent="0.25">
      <c r="A28" s="42" t="s">
        <v>230</v>
      </c>
      <c r="B28" s="37"/>
      <c r="C28" s="37"/>
      <c r="D28" s="37"/>
      <c r="E28" s="37"/>
      <c r="F28" s="38"/>
      <c r="G28" s="39"/>
      <c r="H28" s="37"/>
      <c r="I28" s="37"/>
    </row>
    <row r="29" spans="1:12" ht="21.95" customHeight="1" x14ac:dyDescent="0.25">
      <c r="A29" s="42" t="s">
        <v>231</v>
      </c>
      <c r="B29" s="37"/>
      <c r="C29" s="37"/>
      <c r="D29" s="37"/>
      <c r="E29" s="37"/>
      <c r="F29" s="38"/>
      <c r="G29" s="39"/>
      <c r="H29" s="37"/>
      <c r="I29" s="37"/>
    </row>
    <row r="30" spans="1:12" ht="21.95" customHeight="1" x14ac:dyDescent="0.25">
      <c r="A30" s="42" t="s">
        <v>232</v>
      </c>
      <c r="B30" s="37"/>
      <c r="C30" s="37"/>
      <c r="D30" s="37"/>
      <c r="E30" s="37"/>
      <c r="F30" s="38"/>
      <c r="G30" s="39"/>
      <c r="H30" s="37"/>
      <c r="I30" s="37"/>
    </row>
    <row r="31" spans="1:12" ht="21.95" customHeight="1" x14ac:dyDescent="0.25">
      <c r="A31" s="42" t="s">
        <v>233</v>
      </c>
      <c r="B31" s="37"/>
      <c r="C31" s="37"/>
      <c r="D31" s="37"/>
      <c r="E31" s="37"/>
      <c r="F31" s="38"/>
      <c r="G31" s="39"/>
      <c r="H31" s="37"/>
      <c r="I31" s="37"/>
    </row>
    <row r="32" spans="1:12" ht="21.95" customHeight="1" x14ac:dyDescent="0.25">
      <c r="A32" s="42"/>
      <c r="B32" s="37"/>
      <c r="C32" s="40" t="s">
        <v>234</v>
      </c>
      <c r="D32" s="37"/>
      <c r="E32" s="37"/>
      <c r="F32" s="38"/>
      <c r="G32" s="39"/>
      <c r="H32" s="37"/>
      <c r="I32" s="37"/>
    </row>
    <row r="33" spans="1:9" ht="21.95" customHeight="1" x14ac:dyDescent="0.25">
      <c r="A33" s="42" t="s">
        <v>235</v>
      </c>
      <c r="B33" s="41" t="s">
        <v>236</v>
      </c>
      <c r="C33" s="37"/>
      <c r="D33" s="37"/>
      <c r="E33" s="37"/>
      <c r="F33" s="38"/>
      <c r="G33" s="39"/>
      <c r="H33" s="37"/>
      <c r="I33" s="37"/>
    </row>
  </sheetData>
  <sortState xmlns:xlrd2="http://schemas.microsoft.com/office/spreadsheetml/2017/richdata2" ref="A14:L17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L30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135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46100</v>
      </c>
      <c r="B14" s="11" t="s">
        <v>134</v>
      </c>
      <c r="C14" s="11" t="s">
        <v>135</v>
      </c>
      <c r="D14" s="43">
        <v>0.45833333333333331</v>
      </c>
      <c r="E14" s="43">
        <v>0.70833333333333337</v>
      </c>
      <c r="F14" s="12">
        <v>29</v>
      </c>
      <c r="G14" s="13">
        <f>ROUND(H14*F14,2)</f>
        <v>174</v>
      </c>
      <c r="H14" s="11">
        <v>6</v>
      </c>
      <c r="I14" s="11"/>
      <c r="J14" s="11"/>
      <c r="K14" s="11" t="s">
        <v>42</v>
      </c>
      <c r="L14" s="11" t="s">
        <v>23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174</v>
      </c>
      <c r="H15" s="7">
        <f>SUM(H14)</f>
        <v>6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174</v>
      </c>
      <c r="H16" s="7">
        <f>ROUND(SUMIF(B14:B15,"Subtotal for Unit*",H14:H15),2)</f>
        <v>6</v>
      </c>
    </row>
    <row r="17" spans="1:9" ht="21.95" customHeight="1" thickBot="1" x14ac:dyDescent="0.3">
      <c r="F17" s="8" t="s">
        <v>219</v>
      </c>
      <c r="G17" s="9">
        <f>ROUND(G16*0.13,2)</f>
        <v>22.62</v>
      </c>
      <c r="H17" s="7"/>
    </row>
    <row r="18" spans="1:9" ht="21.95" customHeight="1" thickBot="1" x14ac:dyDescent="0.3">
      <c r="F18" s="8" t="s">
        <v>220</v>
      </c>
      <c r="G18" s="9">
        <f>G16+G17</f>
        <v>196.62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L32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241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x14ac:dyDescent="0.25">
      <c r="A14" s="21">
        <v>46101</v>
      </c>
      <c r="B14" s="24" t="s">
        <v>149</v>
      </c>
      <c r="C14" s="24" t="s">
        <v>241</v>
      </c>
      <c r="D14" s="27">
        <v>0.66666666666666663</v>
      </c>
      <c r="E14" s="27">
        <v>0.875</v>
      </c>
      <c r="F14" s="30">
        <v>31.42</v>
      </c>
      <c r="G14" s="33">
        <f>ROUND(H14*F14,2)</f>
        <v>157.1</v>
      </c>
      <c r="H14" s="24">
        <v>5</v>
      </c>
      <c r="I14" s="24"/>
      <c r="J14" s="24"/>
      <c r="K14" s="24" t="s">
        <v>87</v>
      </c>
      <c r="L14" s="24" t="s">
        <v>23</v>
      </c>
    </row>
    <row r="15" spans="1:12" ht="21.95" customHeight="1" x14ac:dyDescent="0.25">
      <c r="A15" s="22">
        <v>46109</v>
      </c>
      <c r="B15" s="25" t="s">
        <v>108</v>
      </c>
      <c r="C15" s="25" t="s">
        <v>241</v>
      </c>
      <c r="D15" s="28">
        <v>0.66666666666666663</v>
      </c>
      <c r="E15" s="28">
        <v>0.95833333333333337</v>
      </c>
      <c r="F15" s="31">
        <v>31.42</v>
      </c>
      <c r="G15" s="34">
        <f>ROUND(H15*F15,2)</f>
        <v>219.94</v>
      </c>
      <c r="H15" s="25">
        <v>7</v>
      </c>
      <c r="I15" s="25"/>
      <c r="J15" s="25"/>
      <c r="K15" s="25" t="s">
        <v>20</v>
      </c>
      <c r="L15" s="25" t="s">
        <v>30</v>
      </c>
    </row>
    <row r="16" spans="1:12" ht="21.95" customHeight="1" thickBot="1" x14ac:dyDescent="0.3">
      <c r="A16" s="23">
        <v>46110</v>
      </c>
      <c r="B16" s="26" t="s">
        <v>64</v>
      </c>
      <c r="C16" s="26" t="s">
        <v>241</v>
      </c>
      <c r="D16" s="29">
        <v>0.95833333333333337</v>
      </c>
      <c r="E16" s="29">
        <v>0.375</v>
      </c>
      <c r="F16" s="32">
        <v>31.42</v>
      </c>
      <c r="G16" s="35">
        <f>ROUND(H16*F16,2)</f>
        <v>314.2</v>
      </c>
      <c r="H16" s="26">
        <v>10</v>
      </c>
      <c r="I16" s="26"/>
      <c r="J16" s="26"/>
      <c r="K16" s="26" t="s">
        <v>97</v>
      </c>
      <c r="L16" s="26" t="s">
        <v>17</v>
      </c>
    </row>
    <row r="17" spans="1:12" s="3" customFormat="1" ht="21.95" customHeight="1" thickBot="1" x14ac:dyDescent="0.3">
      <c r="A17" s="6"/>
      <c r="B17" s="7" t="s">
        <v>217</v>
      </c>
      <c r="C17" s="7"/>
      <c r="D17" s="20"/>
      <c r="E17" s="20"/>
      <c r="F17" s="8"/>
      <c r="G17" s="9">
        <f>SUM(G14:G16)</f>
        <v>691.24</v>
      </c>
      <c r="H17" s="7">
        <f>SUM(H14:H16)</f>
        <v>22</v>
      </c>
      <c r="I17" s="7"/>
      <c r="J17" s="7"/>
      <c r="K17" s="7"/>
      <c r="L17" s="7"/>
    </row>
    <row r="18" spans="1:12" ht="21.95" customHeight="1" thickBot="1" x14ac:dyDescent="0.3">
      <c r="F18" s="8" t="s">
        <v>218</v>
      </c>
      <c r="G18" s="9">
        <f>ROUND(SUMIF(B14:B17,"Subtotal for Unit*",G14:G17),2)</f>
        <v>691.24</v>
      </c>
      <c r="H18" s="7">
        <f>ROUND(SUMIF(B14:B17,"Subtotal for Unit*",H14:H17),2)</f>
        <v>22</v>
      </c>
    </row>
    <row r="19" spans="1:12" ht="21.95" customHeight="1" thickBot="1" x14ac:dyDescent="0.3">
      <c r="F19" s="8" t="s">
        <v>219</v>
      </c>
      <c r="G19" s="9">
        <f>ROUND(G18*0.13,2)</f>
        <v>89.86</v>
      </c>
      <c r="H19" s="7"/>
    </row>
    <row r="20" spans="1:12" ht="21.95" customHeight="1" thickBot="1" x14ac:dyDescent="0.3">
      <c r="F20" s="8" t="s">
        <v>220</v>
      </c>
      <c r="G20" s="9">
        <f>G18+G19</f>
        <v>781.1</v>
      </c>
      <c r="H20" s="7"/>
    </row>
    <row r="22" spans="1:12" ht="21.95" customHeight="1" x14ac:dyDescent="0.25">
      <c r="A22" s="42" t="s">
        <v>221</v>
      </c>
      <c r="B22" s="37" t="s">
        <v>222</v>
      </c>
      <c r="C22" s="37" t="s">
        <v>223</v>
      </c>
      <c r="D22" s="37"/>
      <c r="E22" s="37"/>
      <c r="F22" s="38"/>
      <c r="G22" s="39"/>
      <c r="H22" s="37"/>
      <c r="I22" s="37"/>
    </row>
    <row r="23" spans="1:12" ht="21.95" customHeight="1" x14ac:dyDescent="0.25">
      <c r="A23" s="36"/>
      <c r="B23" s="37" t="s">
        <v>224</v>
      </c>
      <c r="C23" s="37" t="s">
        <v>225</v>
      </c>
      <c r="D23" s="37"/>
      <c r="E23" s="37"/>
      <c r="F23" s="38"/>
      <c r="G23" s="39"/>
      <c r="H23" s="37"/>
      <c r="I23" s="37"/>
    </row>
    <row r="24" spans="1:12" ht="21.95" customHeight="1" x14ac:dyDescent="0.25">
      <c r="A24" s="36"/>
      <c r="B24" s="37" t="s">
        <v>226</v>
      </c>
      <c r="C24" s="37" t="s">
        <v>227</v>
      </c>
      <c r="D24" s="37"/>
      <c r="E24" s="37"/>
      <c r="F24" s="38"/>
      <c r="G24" s="39"/>
      <c r="H24" s="37"/>
      <c r="I24" s="37"/>
    </row>
    <row r="25" spans="1:12" ht="21.95" customHeight="1" x14ac:dyDescent="0.25">
      <c r="A25" s="36"/>
      <c r="B25" s="37" t="s">
        <v>228</v>
      </c>
      <c r="C25" s="37" t="s">
        <v>229</v>
      </c>
      <c r="D25" s="37"/>
      <c r="E25" s="37"/>
      <c r="F25" s="38"/>
      <c r="G25" s="39"/>
      <c r="H25" s="37"/>
      <c r="I25" s="37"/>
    </row>
    <row r="26" spans="1:12" ht="21.95" customHeight="1" x14ac:dyDescent="0.25">
      <c r="A26" s="36"/>
      <c r="B26" s="37"/>
      <c r="C26" s="37"/>
      <c r="D26" s="37"/>
      <c r="E26" s="37"/>
      <c r="F26" s="38"/>
      <c r="G26" s="39"/>
      <c r="H26" s="37"/>
      <c r="I26" s="37"/>
    </row>
    <row r="27" spans="1:12" ht="21.95" customHeight="1" x14ac:dyDescent="0.25">
      <c r="A27" s="42" t="s">
        <v>230</v>
      </c>
      <c r="B27" s="37"/>
      <c r="C27" s="37"/>
      <c r="D27" s="37"/>
      <c r="E27" s="37"/>
      <c r="F27" s="38"/>
      <c r="G27" s="39"/>
      <c r="H27" s="37"/>
      <c r="I27" s="37"/>
    </row>
    <row r="28" spans="1:12" ht="21.95" customHeight="1" x14ac:dyDescent="0.25">
      <c r="A28" s="42" t="s">
        <v>231</v>
      </c>
      <c r="B28" s="37"/>
      <c r="C28" s="37"/>
      <c r="D28" s="37"/>
      <c r="E28" s="37"/>
      <c r="F28" s="38"/>
      <c r="G28" s="39"/>
      <c r="H28" s="37"/>
      <c r="I28" s="37"/>
    </row>
    <row r="29" spans="1:12" ht="21.95" customHeight="1" x14ac:dyDescent="0.25">
      <c r="A29" s="42" t="s">
        <v>232</v>
      </c>
      <c r="B29" s="37"/>
      <c r="C29" s="37"/>
      <c r="D29" s="37"/>
      <c r="E29" s="37"/>
      <c r="F29" s="38"/>
      <c r="G29" s="39"/>
      <c r="H29" s="37"/>
      <c r="I29" s="37"/>
    </row>
    <row r="30" spans="1:12" ht="21.95" customHeight="1" x14ac:dyDescent="0.25">
      <c r="A30" s="42" t="s">
        <v>233</v>
      </c>
      <c r="B30" s="37"/>
      <c r="C30" s="37"/>
      <c r="D30" s="37"/>
      <c r="E30" s="37"/>
      <c r="F30" s="38"/>
      <c r="G30" s="39"/>
      <c r="H30" s="37"/>
      <c r="I30" s="37"/>
    </row>
    <row r="31" spans="1:12" ht="21.95" customHeight="1" x14ac:dyDescent="0.25">
      <c r="A31" s="42"/>
      <c r="B31" s="37"/>
      <c r="C31" s="40" t="s">
        <v>234</v>
      </c>
      <c r="D31" s="37"/>
      <c r="E31" s="37"/>
      <c r="F31" s="38"/>
      <c r="G31" s="39"/>
      <c r="H31" s="37"/>
      <c r="I31" s="37"/>
    </row>
    <row r="32" spans="1:12" ht="21.95" customHeight="1" x14ac:dyDescent="0.25">
      <c r="A32" s="42" t="s">
        <v>235</v>
      </c>
      <c r="B32" s="41" t="s">
        <v>236</v>
      </c>
      <c r="C32" s="37"/>
      <c r="D32" s="37"/>
      <c r="E32" s="37"/>
      <c r="F32" s="38"/>
      <c r="G32" s="39"/>
      <c r="H32" s="37"/>
      <c r="I32" s="37"/>
    </row>
  </sheetData>
  <sortState xmlns:xlrd2="http://schemas.microsoft.com/office/spreadsheetml/2017/richdata2" ref="A14:L16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L30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242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46103</v>
      </c>
      <c r="B14" s="11" t="s">
        <v>163</v>
      </c>
      <c r="C14" s="11" t="s">
        <v>242</v>
      </c>
      <c r="D14" s="43">
        <v>0.35416666666666669</v>
      </c>
      <c r="E14" s="43">
        <v>0.85416666666666663</v>
      </c>
      <c r="F14" s="12">
        <v>31.17</v>
      </c>
      <c r="G14" s="13">
        <f>ROUND(H14*F14,2)</f>
        <v>374.04</v>
      </c>
      <c r="H14" s="11">
        <v>12</v>
      </c>
      <c r="I14" s="11"/>
      <c r="J14" s="11" t="s">
        <v>15</v>
      </c>
      <c r="K14" s="11" t="s">
        <v>165</v>
      </c>
      <c r="L14" s="11" t="s">
        <v>17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374.04</v>
      </c>
      <c r="H15" s="7">
        <f>SUM(H14)</f>
        <v>12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374.04</v>
      </c>
      <c r="H16" s="7">
        <f>ROUND(SUMIF(B14:B15,"Subtotal for Unit*",H14:H15),2)</f>
        <v>12</v>
      </c>
    </row>
    <row r="17" spans="1:9" ht="21.95" customHeight="1" thickBot="1" x14ac:dyDescent="0.3">
      <c r="F17" s="8" t="s">
        <v>219</v>
      </c>
      <c r="G17" s="9">
        <f>ROUND(G16*0.13,2)</f>
        <v>48.63</v>
      </c>
      <c r="H17" s="7"/>
    </row>
    <row r="18" spans="1:9" ht="21.95" customHeight="1" thickBot="1" x14ac:dyDescent="0.3">
      <c r="F18" s="8" t="s">
        <v>220</v>
      </c>
      <c r="G18" s="9">
        <f>G16+G17</f>
        <v>422.67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L30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243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46105</v>
      </c>
      <c r="B14" s="11" t="s">
        <v>107</v>
      </c>
      <c r="C14" s="11" t="s">
        <v>243</v>
      </c>
      <c r="D14" s="43">
        <v>0.625</v>
      </c>
      <c r="E14" s="43">
        <v>0.875</v>
      </c>
      <c r="F14" s="12">
        <v>31.17</v>
      </c>
      <c r="G14" s="13">
        <f>ROUND(H14*F14,2)</f>
        <v>187.02</v>
      </c>
      <c r="H14" s="11">
        <v>6</v>
      </c>
      <c r="I14" s="11"/>
      <c r="J14" s="11"/>
      <c r="K14" s="11" t="s">
        <v>42</v>
      </c>
      <c r="L14" s="11" t="s">
        <v>23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187.02</v>
      </c>
      <c r="H15" s="7">
        <f>SUM(H14)</f>
        <v>6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187.02</v>
      </c>
      <c r="H16" s="7">
        <f>ROUND(SUMIF(B14:B15,"Subtotal for Unit*",H14:H15),2)</f>
        <v>6</v>
      </c>
    </row>
    <row r="17" spans="1:9" ht="21.95" customHeight="1" thickBot="1" x14ac:dyDescent="0.3">
      <c r="F17" s="8" t="s">
        <v>219</v>
      </c>
      <c r="G17" s="9">
        <f>ROUND(G16*0.13,2)</f>
        <v>24.31</v>
      </c>
      <c r="H17" s="7"/>
    </row>
    <row r="18" spans="1:9" ht="21.95" customHeight="1" thickBot="1" x14ac:dyDescent="0.3">
      <c r="F18" s="8" t="s">
        <v>220</v>
      </c>
      <c r="G18" s="9">
        <f>G16+G17</f>
        <v>211.33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33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244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x14ac:dyDescent="0.25">
      <c r="A14" s="21">
        <v>46106</v>
      </c>
      <c r="B14" s="24" t="s">
        <v>126</v>
      </c>
      <c r="C14" s="24" t="s">
        <v>244</v>
      </c>
      <c r="D14" s="27">
        <v>0.29166666666666669</v>
      </c>
      <c r="E14" s="27">
        <v>0.625</v>
      </c>
      <c r="F14" s="30">
        <v>30.5</v>
      </c>
      <c r="G14" s="33">
        <f>ROUND(H14*F14,2)</f>
        <v>244</v>
      </c>
      <c r="H14" s="24">
        <v>8</v>
      </c>
      <c r="I14" s="24"/>
      <c r="J14" s="24"/>
      <c r="K14" s="24" t="s">
        <v>20</v>
      </c>
      <c r="L14" s="24" t="s">
        <v>47</v>
      </c>
    </row>
    <row r="15" spans="1:12" ht="21.95" customHeight="1" x14ac:dyDescent="0.25">
      <c r="A15" s="22">
        <v>46107</v>
      </c>
      <c r="B15" s="25" t="s">
        <v>126</v>
      </c>
      <c r="C15" s="25" t="s">
        <v>244</v>
      </c>
      <c r="D15" s="28">
        <v>0.30208333333333331</v>
      </c>
      <c r="E15" s="28">
        <v>0.625</v>
      </c>
      <c r="F15" s="31">
        <v>30.5</v>
      </c>
      <c r="G15" s="34">
        <f>ROUND(H15*F15,2)</f>
        <v>236.38</v>
      </c>
      <c r="H15" s="25">
        <v>7.75</v>
      </c>
      <c r="I15" s="25"/>
      <c r="J15" s="25"/>
      <c r="K15" s="25" t="s">
        <v>185</v>
      </c>
      <c r="L15" s="25" t="s">
        <v>17</v>
      </c>
    </row>
    <row r="16" spans="1:12" ht="21.95" customHeight="1" x14ac:dyDescent="0.25">
      <c r="A16" s="22">
        <v>46108</v>
      </c>
      <c r="B16" s="25" t="s">
        <v>126</v>
      </c>
      <c r="C16" s="25" t="s">
        <v>244</v>
      </c>
      <c r="D16" s="28">
        <v>0.29166666666666669</v>
      </c>
      <c r="E16" s="28">
        <v>0.625</v>
      </c>
      <c r="F16" s="31">
        <v>30.5</v>
      </c>
      <c r="G16" s="34">
        <f>ROUND(H16*F16,2)</f>
        <v>244</v>
      </c>
      <c r="H16" s="25">
        <v>8</v>
      </c>
      <c r="I16" s="25"/>
      <c r="J16" s="25"/>
      <c r="K16" s="25" t="s">
        <v>20</v>
      </c>
      <c r="L16" s="25" t="s">
        <v>23</v>
      </c>
    </row>
    <row r="17" spans="1:12" ht="21.95" customHeight="1" thickBot="1" x14ac:dyDescent="0.3">
      <c r="A17" s="23">
        <v>46109</v>
      </c>
      <c r="B17" s="26" t="s">
        <v>105</v>
      </c>
      <c r="C17" s="26" t="s">
        <v>244</v>
      </c>
      <c r="D17" s="29">
        <v>0.41666666666666669</v>
      </c>
      <c r="E17" s="29">
        <v>0.58333333333333337</v>
      </c>
      <c r="F17" s="32">
        <v>30.5</v>
      </c>
      <c r="G17" s="35">
        <f>ROUND(H17*F17,2)</f>
        <v>122</v>
      </c>
      <c r="H17" s="26">
        <v>4</v>
      </c>
      <c r="I17" s="26"/>
      <c r="J17" s="26"/>
      <c r="K17" s="26" t="s">
        <v>16</v>
      </c>
      <c r="L17" s="26" t="s">
        <v>23</v>
      </c>
    </row>
    <row r="18" spans="1:12" s="3" customFormat="1" ht="21.95" customHeight="1" thickBot="1" x14ac:dyDescent="0.3">
      <c r="A18" s="6"/>
      <c r="B18" s="7" t="s">
        <v>217</v>
      </c>
      <c r="C18" s="7"/>
      <c r="D18" s="20"/>
      <c r="E18" s="20"/>
      <c r="F18" s="8"/>
      <c r="G18" s="9">
        <f>SUM(G14:G17)</f>
        <v>846.38</v>
      </c>
      <c r="H18" s="7">
        <f>SUM(H14:H17)</f>
        <v>27.75</v>
      </c>
      <c r="I18" s="7"/>
      <c r="J18" s="7"/>
      <c r="K18" s="7"/>
      <c r="L18" s="7"/>
    </row>
    <row r="19" spans="1:12" ht="21.95" customHeight="1" thickBot="1" x14ac:dyDescent="0.3">
      <c r="F19" s="8" t="s">
        <v>218</v>
      </c>
      <c r="G19" s="9">
        <f>ROUND(SUMIF(B14:B18,"Subtotal for Unit*",G14:G18),2)</f>
        <v>846.38</v>
      </c>
      <c r="H19" s="7">
        <f>ROUND(SUMIF(B14:B18,"Subtotal for Unit*",H14:H18),2)</f>
        <v>27.75</v>
      </c>
    </row>
    <row r="20" spans="1:12" ht="21.95" customHeight="1" thickBot="1" x14ac:dyDescent="0.3">
      <c r="F20" s="8" t="s">
        <v>219</v>
      </c>
      <c r="G20" s="9">
        <f>ROUND(G19*0.13,2)</f>
        <v>110.03</v>
      </c>
      <c r="H20" s="7"/>
    </row>
    <row r="21" spans="1:12" ht="21.95" customHeight="1" thickBot="1" x14ac:dyDescent="0.3">
      <c r="F21" s="8" t="s">
        <v>220</v>
      </c>
      <c r="G21" s="9">
        <f>G19+G20</f>
        <v>956.41</v>
      </c>
      <c r="H21" s="7"/>
    </row>
    <row r="23" spans="1:12" ht="21.95" customHeight="1" x14ac:dyDescent="0.25">
      <c r="A23" s="42" t="s">
        <v>221</v>
      </c>
      <c r="B23" s="37" t="s">
        <v>222</v>
      </c>
      <c r="C23" s="37" t="s">
        <v>223</v>
      </c>
      <c r="D23" s="37"/>
      <c r="E23" s="37"/>
      <c r="F23" s="38"/>
      <c r="G23" s="39"/>
      <c r="H23" s="37"/>
      <c r="I23" s="37"/>
    </row>
    <row r="24" spans="1:12" ht="21.95" customHeight="1" x14ac:dyDescent="0.25">
      <c r="A24" s="36"/>
      <c r="B24" s="37" t="s">
        <v>224</v>
      </c>
      <c r="C24" s="37" t="s">
        <v>225</v>
      </c>
      <c r="D24" s="37"/>
      <c r="E24" s="37"/>
      <c r="F24" s="38"/>
      <c r="G24" s="39"/>
      <c r="H24" s="37"/>
      <c r="I24" s="37"/>
    </row>
    <row r="25" spans="1:12" ht="21.95" customHeight="1" x14ac:dyDescent="0.25">
      <c r="A25" s="36"/>
      <c r="B25" s="37" t="s">
        <v>226</v>
      </c>
      <c r="C25" s="37" t="s">
        <v>227</v>
      </c>
      <c r="D25" s="37"/>
      <c r="E25" s="37"/>
      <c r="F25" s="38"/>
      <c r="G25" s="39"/>
      <c r="H25" s="37"/>
      <c r="I25" s="37"/>
    </row>
    <row r="26" spans="1:12" ht="21.95" customHeight="1" x14ac:dyDescent="0.25">
      <c r="A26" s="36"/>
      <c r="B26" s="37" t="s">
        <v>228</v>
      </c>
      <c r="C26" s="37" t="s">
        <v>229</v>
      </c>
      <c r="D26" s="37"/>
      <c r="E26" s="37"/>
      <c r="F26" s="38"/>
      <c r="G26" s="39"/>
      <c r="H26" s="37"/>
      <c r="I26" s="37"/>
    </row>
    <row r="27" spans="1:12" ht="21.95" customHeight="1" x14ac:dyDescent="0.25">
      <c r="A27" s="36"/>
      <c r="B27" s="37"/>
      <c r="C27" s="37"/>
      <c r="D27" s="37"/>
      <c r="E27" s="37"/>
      <c r="F27" s="38"/>
      <c r="G27" s="39"/>
      <c r="H27" s="37"/>
      <c r="I27" s="37"/>
    </row>
    <row r="28" spans="1:12" ht="21.95" customHeight="1" x14ac:dyDescent="0.25">
      <c r="A28" s="42" t="s">
        <v>230</v>
      </c>
      <c r="B28" s="37"/>
      <c r="C28" s="37"/>
      <c r="D28" s="37"/>
      <c r="E28" s="37"/>
      <c r="F28" s="38"/>
      <c r="G28" s="39"/>
      <c r="H28" s="37"/>
      <c r="I28" s="37"/>
    </row>
    <row r="29" spans="1:12" ht="21.95" customHeight="1" x14ac:dyDescent="0.25">
      <c r="A29" s="42" t="s">
        <v>231</v>
      </c>
      <c r="B29" s="37"/>
      <c r="C29" s="37"/>
      <c r="D29" s="37"/>
      <c r="E29" s="37"/>
      <c r="F29" s="38"/>
      <c r="G29" s="39"/>
      <c r="H29" s="37"/>
      <c r="I29" s="37"/>
    </row>
    <row r="30" spans="1:12" ht="21.95" customHeight="1" x14ac:dyDescent="0.25">
      <c r="A30" s="42" t="s">
        <v>232</v>
      </c>
      <c r="B30" s="37"/>
      <c r="C30" s="37"/>
      <c r="D30" s="37"/>
      <c r="E30" s="37"/>
      <c r="F30" s="38"/>
      <c r="G30" s="39"/>
      <c r="H30" s="37"/>
      <c r="I30" s="37"/>
    </row>
    <row r="31" spans="1:12" ht="21.95" customHeight="1" x14ac:dyDescent="0.25">
      <c r="A31" s="42" t="s">
        <v>233</v>
      </c>
      <c r="B31" s="37"/>
      <c r="C31" s="37"/>
      <c r="D31" s="37"/>
      <c r="E31" s="37"/>
      <c r="F31" s="38"/>
      <c r="G31" s="39"/>
      <c r="H31" s="37"/>
      <c r="I31" s="37"/>
    </row>
    <row r="32" spans="1:12" ht="21.95" customHeight="1" x14ac:dyDescent="0.25">
      <c r="A32" s="42"/>
      <c r="B32" s="37"/>
      <c r="C32" s="40" t="s">
        <v>234</v>
      </c>
      <c r="D32" s="37"/>
      <c r="E32" s="37"/>
      <c r="F32" s="38"/>
      <c r="G32" s="39"/>
      <c r="H32" s="37"/>
      <c r="I32" s="37"/>
    </row>
    <row r="33" spans="1:9" ht="21.95" customHeight="1" x14ac:dyDescent="0.25">
      <c r="A33" s="42" t="s">
        <v>235</v>
      </c>
      <c r="B33" s="41" t="s">
        <v>236</v>
      </c>
      <c r="C33" s="37"/>
      <c r="D33" s="37"/>
      <c r="E33" s="37"/>
      <c r="F33" s="38"/>
      <c r="G33" s="39"/>
      <c r="H33" s="37"/>
      <c r="I33" s="37"/>
    </row>
  </sheetData>
  <sortState xmlns:xlrd2="http://schemas.microsoft.com/office/spreadsheetml/2017/richdata2" ref="A14:L17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L30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245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46106</v>
      </c>
      <c r="B14" s="11" t="s">
        <v>163</v>
      </c>
      <c r="C14" s="11" t="s">
        <v>245</v>
      </c>
      <c r="D14" s="43">
        <v>0.66666666666666663</v>
      </c>
      <c r="E14" s="43">
        <v>0.875</v>
      </c>
      <c r="F14" s="12">
        <v>31.17</v>
      </c>
      <c r="G14" s="13">
        <f>ROUND(H14*F14,2)</f>
        <v>155.85</v>
      </c>
      <c r="H14" s="11">
        <v>5</v>
      </c>
      <c r="I14" s="11"/>
      <c r="J14" s="11"/>
      <c r="K14" s="11" t="s">
        <v>87</v>
      </c>
      <c r="L14" s="11" t="s">
        <v>23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155.85</v>
      </c>
      <c r="H15" s="7">
        <f>SUM(H14)</f>
        <v>5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155.85</v>
      </c>
      <c r="H16" s="7">
        <f>ROUND(SUMIF(B14:B15,"Subtotal for Unit*",H14:H15),2)</f>
        <v>5</v>
      </c>
    </row>
    <row r="17" spans="1:9" ht="21.95" customHeight="1" thickBot="1" x14ac:dyDescent="0.3">
      <c r="F17" s="8" t="s">
        <v>219</v>
      </c>
      <c r="G17" s="9">
        <f>ROUND(G16*0.13,2)</f>
        <v>20.260000000000002</v>
      </c>
      <c r="H17" s="7"/>
    </row>
    <row r="18" spans="1:9" ht="21.95" customHeight="1" thickBot="1" x14ac:dyDescent="0.3">
      <c r="F18" s="8" t="s">
        <v>220</v>
      </c>
      <c r="G18" s="9">
        <f>G16+G17</f>
        <v>176.10999999999999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L30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246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46106</v>
      </c>
      <c r="B14" s="11" t="s">
        <v>107</v>
      </c>
      <c r="C14" s="11" t="s">
        <v>246</v>
      </c>
      <c r="D14" s="43">
        <v>0.66666666666666663</v>
      </c>
      <c r="E14" s="43">
        <v>0.91666666666666663</v>
      </c>
      <c r="F14" s="12">
        <v>31.17</v>
      </c>
      <c r="G14" s="13">
        <f>ROUND(H14*F14,2)</f>
        <v>187.02</v>
      </c>
      <c r="H14" s="11">
        <v>6</v>
      </c>
      <c r="I14" s="11"/>
      <c r="J14" s="11" t="s">
        <v>15</v>
      </c>
      <c r="K14" s="11" t="s">
        <v>42</v>
      </c>
      <c r="L14" s="11" t="s">
        <v>23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187.02</v>
      </c>
      <c r="H15" s="7">
        <f>SUM(H14)</f>
        <v>6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187.02</v>
      </c>
      <c r="H16" s="7">
        <f>ROUND(SUMIF(B14:B15,"Subtotal for Unit*",H14:H15),2)</f>
        <v>6</v>
      </c>
    </row>
    <row r="17" spans="1:9" ht="21.95" customHeight="1" thickBot="1" x14ac:dyDescent="0.3">
      <c r="F17" s="8" t="s">
        <v>219</v>
      </c>
      <c r="G17" s="9">
        <f>ROUND(G16*0.13,2)</f>
        <v>24.31</v>
      </c>
      <c r="H17" s="7"/>
    </row>
    <row r="18" spans="1:9" ht="21.95" customHeight="1" thickBot="1" x14ac:dyDescent="0.3">
      <c r="F18" s="8" t="s">
        <v>220</v>
      </c>
      <c r="G18" s="9">
        <f>G16+G17</f>
        <v>211.33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L32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247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x14ac:dyDescent="0.25">
      <c r="A14" s="21">
        <v>46107</v>
      </c>
      <c r="B14" s="24" t="s">
        <v>163</v>
      </c>
      <c r="C14" s="24" t="s">
        <v>247</v>
      </c>
      <c r="D14" s="27">
        <v>0.64583333333333337</v>
      </c>
      <c r="E14" s="27">
        <v>0.8125</v>
      </c>
      <c r="F14" s="30">
        <v>29.63</v>
      </c>
      <c r="G14" s="33">
        <f>ROUND(H14*F14,2)</f>
        <v>118.52</v>
      </c>
      <c r="H14" s="24">
        <v>4</v>
      </c>
      <c r="I14" s="24"/>
      <c r="J14" s="24"/>
      <c r="K14" s="24" t="s">
        <v>16</v>
      </c>
      <c r="L14" s="24" t="s">
        <v>17</v>
      </c>
    </row>
    <row r="15" spans="1:12" ht="21.95" customHeight="1" x14ac:dyDescent="0.25">
      <c r="A15" s="22">
        <v>46109</v>
      </c>
      <c r="B15" s="25" t="s">
        <v>189</v>
      </c>
      <c r="C15" s="25" t="s">
        <v>247</v>
      </c>
      <c r="D15" s="28">
        <v>0.33333333333333331</v>
      </c>
      <c r="E15" s="28">
        <v>0.625</v>
      </c>
      <c r="F15" s="31">
        <v>29.63</v>
      </c>
      <c r="G15" s="34">
        <f>ROUND(H15*F15,2)</f>
        <v>207.41</v>
      </c>
      <c r="H15" s="25">
        <v>7</v>
      </c>
      <c r="I15" s="25"/>
      <c r="J15" s="25"/>
      <c r="K15" s="25" t="s">
        <v>56</v>
      </c>
      <c r="L15" s="25" t="s">
        <v>57</v>
      </c>
    </row>
    <row r="16" spans="1:12" ht="21.95" customHeight="1" thickBot="1" x14ac:dyDescent="0.3">
      <c r="A16" s="23">
        <v>46110</v>
      </c>
      <c r="B16" s="26" t="s">
        <v>189</v>
      </c>
      <c r="C16" s="26" t="s">
        <v>247</v>
      </c>
      <c r="D16" s="29">
        <v>0.29166666666666669</v>
      </c>
      <c r="E16" s="29">
        <v>0.625</v>
      </c>
      <c r="F16" s="32">
        <v>29.63</v>
      </c>
      <c r="G16" s="35">
        <f>ROUND(H16*F16,2)</f>
        <v>237.04</v>
      </c>
      <c r="H16" s="26">
        <v>8</v>
      </c>
      <c r="I16" s="26"/>
      <c r="J16" s="26"/>
      <c r="K16" s="26" t="s">
        <v>20</v>
      </c>
      <c r="L16" s="26" t="s">
        <v>57</v>
      </c>
    </row>
    <row r="17" spans="1:12" s="3" customFormat="1" ht="21.95" customHeight="1" thickBot="1" x14ac:dyDescent="0.3">
      <c r="A17" s="6"/>
      <c r="B17" s="7" t="s">
        <v>217</v>
      </c>
      <c r="C17" s="7"/>
      <c r="D17" s="20"/>
      <c r="E17" s="20"/>
      <c r="F17" s="8"/>
      <c r="G17" s="9">
        <f>SUM(G14:G16)</f>
        <v>562.97</v>
      </c>
      <c r="H17" s="7">
        <f>SUM(H14:H16)</f>
        <v>19</v>
      </c>
      <c r="I17" s="7"/>
      <c r="J17" s="7"/>
      <c r="K17" s="7"/>
      <c r="L17" s="7"/>
    </row>
    <row r="18" spans="1:12" ht="21.95" customHeight="1" thickBot="1" x14ac:dyDescent="0.3">
      <c r="F18" s="8" t="s">
        <v>218</v>
      </c>
      <c r="G18" s="9">
        <f>ROUND(SUMIF(B14:B17,"Subtotal for Unit*",G14:G17),2)</f>
        <v>562.97</v>
      </c>
      <c r="H18" s="7">
        <f>ROUND(SUMIF(B14:B17,"Subtotal for Unit*",H14:H17),2)</f>
        <v>19</v>
      </c>
    </row>
    <row r="19" spans="1:12" ht="21.95" customHeight="1" thickBot="1" x14ac:dyDescent="0.3">
      <c r="F19" s="8" t="s">
        <v>219</v>
      </c>
      <c r="G19" s="9">
        <f>ROUND(G18*0.13,2)</f>
        <v>73.19</v>
      </c>
      <c r="H19" s="7"/>
    </row>
    <row r="20" spans="1:12" ht="21.95" customHeight="1" thickBot="1" x14ac:dyDescent="0.3">
      <c r="F20" s="8" t="s">
        <v>220</v>
      </c>
      <c r="G20" s="9">
        <f>G18+G19</f>
        <v>636.16000000000008</v>
      </c>
      <c r="H20" s="7"/>
    </row>
    <row r="22" spans="1:12" ht="21.95" customHeight="1" x14ac:dyDescent="0.25">
      <c r="A22" s="42" t="s">
        <v>221</v>
      </c>
      <c r="B22" s="37" t="s">
        <v>222</v>
      </c>
      <c r="C22" s="37" t="s">
        <v>223</v>
      </c>
      <c r="D22" s="37"/>
      <c r="E22" s="37"/>
      <c r="F22" s="38"/>
      <c r="G22" s="39"/>
      <c r="H22" s="37"/>
      <c r="I22" s="37"/>
    </row>
    <row r="23" spans="1:12" ht="21.95" customHeight="1" x14ac:dyDescent="0.25">
      <c r="A23" s="36"/>
      <c r="B23" s="37" t="s">
        <v>224</v>
      </c>
      <c r="C23" s="37" t="s">
        <v>225</v>
      </c>
      <c r="D23" s="37"/>
      <c r="E23" s="37"/>
      <c r="F23" s="38"/>
      <c r="G23" s="39"/>
      <c r="H23" s="37"/>
      <c r="I23" s="37"/>
    </row>
    <row r="24" spans="1:12" ht="21.95" customHeight="1" x14ac:dyDescent="0.25">
      <c r="A24" s="36"/>
      <c r="B24" s="37" t="s">
        <v>226</v>
      </c>
      <c r="C24" s="37" t="s">
        <v>227</v>
      </c>
      <c r="D24" s="37"/>
      <c r="E24" s="37"/>
      <c r="F24" s="38"/>
      <c r="G24" s="39"/>
      <c r="H24" s="37"/>
      <c r="I24" s="37"/>
    </row>
    <row r="25" spans="1:12" ht="21.95" customHeight="1" x14ac:dyDescent="0.25">
      <c r="A25" s="36"/>
      <c r="B25" s="37" t="s">
        <v>228</v>
      </c>
      <c r="C25" s="37" t="s">
        <v>229</v>
      </c>
      <c r="D25" s="37"/>
      <c r="E25" s="37"/>
      <c r="F25" s="38"/>
      <c r="G25" s="39"/>
      <c r="H25" s="37"/>
      <c r="I25" s="37"/>
    </row>
    <row r="26" spans="1:12" ht="21.95" customHeight="1" x14ac:dyDescent="0.25">
      <c r="A26" s="36"/>
      <c r="B26" s="37"/>
      <c r="C26" s="37"/>
      <c r="D26" s="37"/>
      <c r="E26" s="37"/>
      <c r="F26" s="38"/>
      <c r="G26" s="39"/>
      <c r="H26" s="37"/>
      <c r="I26" s="37"/>
    </row>
    <row r="27" spans="1:12" ht="21.95" customHeight="1" x14ac:dyDescent="0.25">
      <c r="A27" s="42" t="s">
        <v>230</v>
      </c>
      <c r="B27" s="37"/>
      <c r="C27" s="37"/>
      <c r="D27" s="37"/>
      <c r="E27" s="37"/>
      <c r="F27" s="38"/>
      <c r="G27" s="39"/>
      <c r="H27" s="37"/>
      <c r="I27" s="37"/>
    </row>
    <row r="28" spans="1:12" ht="21.95" customHeight="1" x14ac:dyDescent="0.25">
      <c r="A28" s="42" t="s">
        <v>231</v>
      </c>
      <c r="B28" s="37"/>
      <c r="C28" s="37"/>
      <c r="D28" s="37"/>
      <c r="E28" s="37"/>
      <c r="F28" s="38"/>
      <c r="G28" s="39"/>
      <c r="H28" s="37"/>
      <c r="I28" s="37"/>
    </row>
    <row r="29" spans="1:12" ht="21.95" customHeight="1" x14ac:dyDescent="0.25">
      <c r="A29" s="42" t="s">
        <v>232</v>
      </c>
      <c r="B29" s="37"/>
      <c r="C29" s="37"/>
      <c r="D29" s="37"/>
      <c r="E29" s="37"/>
      <c r="F29" s="38"/>
      <c r="G29" s="39"/>
      <c r="H29" s="37"/>
      <c r="I29" s="37"/>
    </row>
    <row r="30" spans="1:12" ht="21.95" customHeight="1" x14ac:dyDescent="0.25">
      <c r="A30" s="42" t="s">
        <v>233</v>
      </c>
      <c r="B30" s="37"/>
      <c r="C30" s="37"/>
      <c r="D30" s="37"/>
      <c r="E30" s="37"/>
      <c r="F30" s="38"/>
      <c r="G30" s="39"/>
      <c r="H30" s="37"/>
      <c r="I30" s="37"/>
    </row>
    <row r="31" spans="1:12" ht="21.95" customHeight="1" x14ac:dyDescent="0.25">
      <c r="A31" s="42"/>
      <c r="B31" s="37"/>
      <c r="C31" s="40" t="s">
        <v>234</v>
      </c>
      <c r="D31" s="37"/>
      <c r="E31" s="37"/>
      <c r="F31" s="38"/>
      <c r="G31" s="39"/>
      <c r="H31" s="37"/>
      <c r="I31" s="37"/>
    </row>
    <row r="32" spans="1:12" ht="21.95" customHeight="1" x14ac:dyDescent="0.25">
      <c r="A32" s="42" t="s">
        <v>235</v>
      </c>
      <c r="B32" s="41" t="s">
        <v>236</v>
      </c>
      <c r="C32" s="37"/>
      <c r="D32" s="37"/>
      <c r="E32" s="37"/>
      <c r="F32" s="38"/>
      <c r="G32" s="39"/>
      <c r="H32" s="37"/>
      <c r="I32" s="37"/>
    </row>
  </sheetData>
  <sortState xmlns:xlrd2="http://schemas.microsoft.com/office/spreadsheetml/2017/richdata2" ref="A14:L16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L30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248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46107</v>
      </c>
      <c r="B14" s="11" t="s">
        <v>126</v>
      </c>
      <c r="C14" s="11" t="s">
        <v>248</v>
      </c>
      <c r="D14" s="43">
        <v>0.6875</v>
      </c>
      <c r="E14" s="43">
        <v>0.85416666666666663</v>
      </c>
      <c r="F14" s="12">
        <v>31.42</v>
      </c>
      <c r="G14" s="13">
        <f>ROUND(H14*F14,2)</f>
        <v>125.68</v>
      </c>
      <c r="H14" s="11">
        <v>4</v>
      </c>
      <c r="I14" s="11"/>
      <c r="J14" s="11"/>
      <c r="K14" s="11" t="s">
        <v>16</v>
      </c>
      <c r="L14" s="11" t="s">
        <v>17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125.68</v>
      </c>
      <c r="H15" s="7">
        <f>SUM(H14)</f>
        <v>4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125.68</v>
      </c>
      <c r="H16" s="7">
        <f>ROUND(SUMIF(B14:B15,"Subtotal for Unit*",H14:H15),2)</f>
        <v>4</v>
      </c>
    </row>
    <row r="17" spans="1:9" ht="21.95" customHeight="1" thickBot="1" x14ac:dyDescent="0.3">
      <c r="F17" s="8" t="s">
        <v>219</v>
      </c>
      <c r="G17" s="9">
        <f>ROUND(G16*0.13,2)</f>
        <v>16.34</v>
      </c>
      <c r="H17" s="7"/>
    </row>
    <row r="18" spans="1:9" ht="21.95" customHeight="1" thickBot="1" x14ac:dyDescent="0.3">
      <c r="F18" s="8" t="s">
        <v>220</v>
      </c>
      <c r="G18" s="9">
        <f>G16+G17</f>
        <v>142.02000000000001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L30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249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46107</v>
      </c>
      <c r="B14" s="11" t="s">
        <v>189</v>
      </c>
      <c r="C14" s="11" t="s">
        <v>249</v>
      </c>
      <c r="D14" s="43">
        <v>0.6875</v>
      </c>
      <c r="E14" s="43">
        <v>0.85416666666666663</v>
      </c>
      <c r="F14" s="12">
        <v>31.42</v>
      </c>
      <c r="G14" s="13">
        <f>ROUND(H14*F14,2)</f>
        <v>125.68</v>
      </c>
      <c r="H14" s="11">
        <v>4</v>
      </c>
      <c r="I14" s="11"/>
      <c r="J14" s="11"/>
      <c r="K14" s="11" t="s">
        <v>16</v>
      </c>
      <c r="L14" s="11" t="s">
        <v>17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125.68</v>
      </c>
      <c r="H15" s="7">
        <f>SUM(H14)</f>
        <v>4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125.68</v>
      </c>
      <c r="H16" s="7">
        <f>ROUND(SUMIF(B14:B15,"Subtotal for Unit*",H14:H15),2)</f>
        <v>4</v>
      </c>
    </row>
    <row r="17" spans="1:9" ht="21.95" customHeight="1" thickBot="1" x14ac:dyDescent="0.3">
      <c r="F17" s="8" t="s">
        <v>219</v>
      </c>
      <c r="G17" s="9">
        <f>ROUND(G16*0.13,2)</f>
        <v>16.34</v>
      </c>
      <c r="H17" s="7"/>
    </row>
    <row r="18" spans="1:9" ht="21.95" customHeight="1" thickBot="1" x14ac:dyDescent="0.3">
      <c r="F18" s="8" t="s">
        <v>220</v>
      </c>
      <c r="G18" s="9">
        <f>G16+G17</f>
        <v>142.02000000000001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L30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252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46109</v>
      </c>
      <c r="B14" s="11" t="s">
        <v>163</v>
      </c>
      <c r="C14" s="11" t="s">
        <v>252</v>
      </c>
      <c r="D14" s="43">
        <v>0.625</v>
      </c>
      <c r="E14" s="43">
        <v>0.95833333333333337</v>
      </c>
      <c r="F14" s="12">
        <v>29.63</v>
      </c>
      <c r="G14" s="13">
        <f>ROUND(H14*F14,2)</f>
        <v>237.04</v>
      </c>
      <c r="H14" s="11">
        <v>8</v>
      </c>
      <c r="I14" s="11"/>
      <c r="J14" s="11"/>
      <c r="K14" s="11" t="s">
        <v>20</v>
      </c>
      <c r="L14" s="11" t="s">
        <v>30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237.04</v>
      </c>
      <c r="H15" s="7">
        <f>SUM(H14)</f>
        <v>8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237.04</v>
      </c>
      <c r="H16" s="7">
        <f>ROUND(SUMIF(B14:B15,"Subtotal for Unit*",H14:H15),2)</f>
        <v>8</v>
      </c>
    </row>
    <row r="17" spans="1:9" ht="21.95" customHeight="1" thickBot="1" x14ac:dyDescent="0.3">
      <c r="F17" s="8" t="s">
        <v>219</v>
      </c>
      <c r="G17" s="9">
        <f>ROUND(G16*0.13,2)</f>
        <v>30.82</v>
      </c>
      <c r="H17" s="7"/>
    </row>
    <row r="18" spans="1:9" ht="21.95" customHeight="1" thickBot="1" x14ac:dyDescent="0.3">
      <c r="F18" s="8" t="s">
        <v>220</v>
      </c>
      <c r="G18" s="9">
        <f>G16+G17</f>
        <v>267.86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L30"/>
  <sheetViews>
    <sheetView workbookViewId="0"/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253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46109</v>
      </c>
      <c r="B14" s="11" t="s">
        <v>149</v>
      </c>
      <c r="C14" s="11" t="s">
        <v>253</v>
      </c>
      <c r="D14" s="43">
        <v>0.66666666666666663</v>
      </c>
      <c r="E14" s="43">
        <v>0.875</v>
      </c>
      <c r="F14" s="12">
        <v>31.42</v>
      </c>
      <c r="G14" s="13">
        <f>ROUND(H14*F14,2)</f>
        <v>157.1</v>
      </c>
      <c r="H14" s="11">
        <v>5</v>
      </c>
      <c r="I14" s="11"/>
      <c r="J14" s="11"/>
      <c r="K14" s="11" t="s">
        <v>87</v>
      </c>
      <c r="L14" s="11" t="s">
        <v>23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157.1</v>
      </c>
      <c r="H15" s="7">
        <f>SUM(H14)</f>
        <v>5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157.1</v>
      </c>
      <c r="H16" s="7">
        <f>ROUND(SUMIF(B14:B15,"Subtotal for Unit*",H14:H15),2)</f>
        <v>5</v>
      </c>
    </row>
    <row r="17" spans="1:9" ht="21.95" customHeight="1" thickBot="1" x14ac:dyDescent="0.3">
      <c r="F17" s="8" t="s">
        <v>219</v>
      </c>
      <c r="G17" s="9">
        <f>ROUND(G16*0.13,2)</f>
        <v>20.420000000000002</v>
      </c>
      <c r="H17" s="7"/>
    </row>
    <row r="18" spans="1:9" ht="21.95" customHeight="1" thickBot="1" x14ac:dyDescent="0.3">
      <c r="F18" s="8" t="s">
        <v>220</v>
      </c>
      <c r="G18" s="9">
        <f>G16+G17</f>
        <v>177.51999999999998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L30"/>
  <sheetViews>
    <sheetView workbookViewId="0">
      <selection activeCell="B19" sqref="B19"/>
    </sheetView>
  </sheetViews>
  <sheetFormatPr defaultRowHeight="21.95" customHeight="1" x14ac:dyDescent="0.25"/>
  <cols>
    <col min="1" max="1" width="18.28515625" style="2" customWidth="1"/>
    <col min="2" max="2" width="70.85546875" customWidth="1"/>
    <col min="3" max="3" width="49.7109375" customWidth="1"/>
    <col min="4" max="4" width="17" customWidth="1"/>
    <col min="5" max="5" width="18.28515625" customWidth="1"/>
    <col min="6" max="6" width="18.85546875" style="4" customWidth="1"/>
    <col min="7" max="7" width="16.5703125" style="5" customWidth="1"/>
    <col min="8" max="8" width="11.85546875" customWidth="1"/>
    <col min="9" max="9" width="26.28515625" customWidth="1"/>
  </cols>
  <sheetData>
    <row r="1" spans="1:12" ht="21.95" customHeight="1" x14ac:dyDescent="0.25">
      <c r="A1"/>
    </row>
    <row r="5" spans="1:12" ht="21.95" customHeight="1" x14ac:dyDescent="0.25">
      <c r="C5" s="16" t="s">
        <v>212</v>
      </c>
      <c r="D5" s="16"/>
    </row>
    <row r="7" spans="1:12" ht="34.5" customHeight="1" x14ac:dyDescent="0.25">
      <c r="C7" s="17" t="s">
        <v>213</v>
      </c>
      <c r="D7" s="17"/>
    </row>
    <row r="9" spans="1:12" s="14" customFormat="1" ht="21.95" customHeight="1" x14ac:dyDescent="0.25">
      <c r="A9" s="15" t="s">
        <v>254</v>
      </c>
      <c r="F9" s="18" t="s">
        <v>214</v>
      </c>
      <c r="G9" s="19"/>
    </row>
    <row r="10" spans="1:12" s="14" customFormat="1" ht="21.95" customHeight="1" x14ac:dyDescent="0.25">
      <c r="A10" s="15" t="s">
        <v>211</v>
      </c>
      <c r="F10" s="18" t="s">
        <v>215</v>
      </c>
      <c r="G10" s="19"/>
    </row>
    <row r="11" spans="1:12" ht="21.95" customHeight="1" x14ac:dyDescent="0.25">
      <c r="F11" s="18" t="s">
        <v>216</v>
      </c>
      <c r="G11" s="19"/>
    </row>
    <row r="12" spans="1:12" ht="21.95" customHeight="1" thickBot="1" x14ac:dyDescent="0.3"/>
    <row r="13" spans="1:12" s="3" customFormat="1" ht="21.95" customHeight="1" thickBot="1" x14ac:dyDescent="0.3">
      <c r="A13" s="6" t="s">
        <v>0</v>
      </c>
      <c r="B13" s="7" t="s">
        <v>206</v>
      </c>
      <c r="C13" s="7" t="s">
        <v>207</v>
      </c>
      <c r="D13" s="7" t="s">
        <v>3</v>
      </c>
      <c r="E13" s="7" t="s">
        <v>4</v>
      </c>
      <c r="F13" s="8" t="s">
        <v>208</v>
      </c>
      <c r="G13" s="9" t="s">
        <v>209</v>
      </c>
      <c r="H13" s="7" t="s">
        <v>7</v>
      </c>
      <c r="I13" s="7" t="s">
        <v>210</v>
      </c>
      <c r="J13" s="7" t="s">
        <v>9</v>
      </c>
      <c r="K13" s="7" t="s">
        <v>10</v>
      </c>
      <c r="L13" s="7" t="s">
        <v>11</v>
      </c>
    </row>
    <row r="14" spans="1:12" ht="21.95" customHeight="1" thickBot="1" x14ac:dyDescent="0.3">
      <c r="A14" s="10">
        <v>46109</v>
      </c>
      <c r="B14" s="11" t="s">
        <v>64</v>
      </c>
      <c r="C14" s="11" t="s">
        <v>254</v>
      </c>
      <c r="D14" s="43">
        <v>0.70833333333333337</v>
      </c>
      <c r="E14" s="43">
        <v>0.875</v>
      </c>
      <c r="F14" s="12">
        <v>31.17</v>
      </c>
      <c r="G14" s="13">
        <f>ROUND(H14*F14,2)</f>
        <v>124.68</v>
      </c>
      <c r="H14" s="11">
        <v>4</v>
      </c>
      <c r="I14" s="11"/>
      <c r="J14" s="11" t="s">
        <v>15</v>
      </c>
      <c r="K14" s="11" t="s">
        <v>16</v>
      </c>
      <c r="L14" s="11" t="s">
        <v>23</v>
      </c>
    </row>
    <row r="15" spans="1:12" s="3" customFormat="1" ht="21.95" customHeight="1" thickBot="1" x14ac:dyDescent="0.3">
      <c r="A15" s="6"/>
      <c r="B15" s="7" t="s">
        <v>217</v>
      </c>
      <c r="C15" s="7"/>
      <c r="D15" s="20"/>
      <c r="E15" s="20"/>
      <c r="F15" s="8"/>
      <c r="G15" s="9">
        <f>SUM(G14)</f>
        <v>124.68</v>
      </c>
      <c r="H15" s="7">
        <f>SUM(H14)</f>
        <v>4</v>
      </c>
      <c r="I15" s="7"/>
      <c r="J15" s="7"/>
      <c r="K15" s="7"/>
      <c r="L15" s="7"/>
    </row>
    <row r="16" spans="1:12" ht="21.95" customHeight="1" thickBot="1" x14ac:dyDescent="0.3">
      <c r="F16" s="8" t="s">
        <v>218</v>
      </c>
      <c r="G16" s="9">
        <f>ROUND(SUMIF(B14:B15,"Subtotal for Unit*",G14:G15),2)</f>
        <v>124.68</v>
      </c>
      <c r="H16" s="7">
        <f>ROUND(SUMIF(B14:B15,"Subtotal for Unit*",H14:H15),2)</f>
        <v>4</v>
      </c>
    </row>
    <row r="17" spans="1:9" ht="21.95" customHeight="1" thickBot="1" x14ac:dyDescent="0.3">
      <c r="F17" s="8" t="s">
        <v>219</v>
      </c>
      <c r="G17" s="9">
        <f>ROUND(G16*0.13,2)</f>
        <v>16.21</v>
      </c>
      <c r="H17" s="7"/>
    </row>
    <row r="18" spans="1:9" ht="21.95" customHeight="1" thickBot="1" x14ac:dyDescent="0.3">
      <c r="F18" s="8" t="s">
        <v>220</v>
      </c>
      <c r="G18" s="9">
        <f>G16+G17</f>
        <v>140.89000000000001</v>
      </c>
      <c r="H18" s="7"/>
    </row>
    <row r="20" spans="1:9" ht="21.95" customHeight="1" x14ac:dyDescent="0.25">
      <c r="A20" s="42" t="s">
        <v>221</v>
      </c>
      <c r="B20" s="37" t="s">
        <v>222</v>
      </c>
      <c r="C20" s="37" t="s">
        <v>223</v>
      </c>
      <c r="D20" s="37"/>
      <c r="E20" s="37"/>
      <c r="F20" s="38"/>
      <c r="G20" s="39"/>
      <c r="H20" s="37"/>
      <c r="I20" s="37"/>
    </row>
    <row r="21" spans="1:9" ht="21.95" customHeight="1" x14ac:dyDescent="0.25">
      <c r="A21" s="36"/>
      <c r="B21" s="37" t="s">
        <v>224</v>
      </c>
      <c r="C21" s="37" t="s">
        <v>225</v>
      </c>
      <c r="D21" s="37"/>
      <c r="E21" s="37"/>
      <c r="F21" s="38"/>
      <c r="G21" s="39"/>
      <c r="H21" s="37"/>
      <c r="I21" s="37"/>
    </row>
    <row r="22" spans="1:9" ht="21.95" customHeight="1" x14ac:dyDescent="0.25">
      <c r="A22" s="36"/>
      <c r="B22" s="37" t="s">
        <v>226</v>
      </c>
      <c r="C22" s="37" t="s">
        <v>227</v>
      </c>
      <c r="D22" s="37"/>
      <c r="E22" s="37"/>
      <c r="F22" s="38"/>
      <c r="G22" s="39"/>
      <c r="H22" s="37"/>
      <c r="I22" s="37"/>
    </row>
    <row r="23" spans="1:9" ht="21.95" customHeight="1" x14ac:dyDescent="0.25">
      <c r="A23" s="36"/>
      <c r="B23" s="37" t="s">
        <v>228</v>
      </c>
      <c r="C23" s="37" t="s">
        <v>229</v>
      </c>
      <c r="D23" s="37"/>
      <c r="E23" s="37"/>
      <c r="F23" s="38"/>
      <c r="G23" s="39"/>
      <c r="H23" s="37"/>
      <c r="I23" s="37"/>
    </row>
    <row r="24" spans="1:9" ht="21.95" customHeight="1" x14ac:dyDescent="0.25">
      <c r="A24" s="36"/>
      <c r="B24" s="37"/>
      <c r="C24" s="37"/>
      <c r="D24" s="37"/>
      <c r="E24" s="37"/>
      <c r="F24" s="38"/>
      <c r="G24" s="39"/>
      <c r="H24" s="37"/>
      <c r="I24" s="37"/>
    </row>
    <row r="25" spans="1:9" ht="21.95" customHeight="1" x14ac:dyDescent="0.25">
      <c r="A25" s="42" t="s">
        <v>230</v>
      </c>
      <c r="B25" s="37"/>
      <c r="C25" s="37"/>
      <c r="D25" s="37"/>
      <c r="E25" s="37"/>
      <c r="F25" s="38"/>
      <c r="G25" s="39"/>
      <c r="H25" s="37"/>
      <c r="I25" s="37"/>
    </row>
    <row r="26" spans="1:9" ht="21.95" customHeight="1" x14ac:dyDescent="0.25">
      <c r="A26" s="42" t="s">
        <v>231</v>
      </c>
      <c r="B26" s="37"/>
      <c r="C26" s="37"/>
      <c r="D26" s="37"/>
      <c r="E26" s="37"/>
      <c r="F26" s="38"/>
      <c r="G26" s="39"/>
      <c r="H26" s="37"/>
      <c r="I26" s="37"/>
    </row>
    <row r="27" spans="1:9" ht="21.95" customHeight="1" x14ac:dyDescent="0.25">
      <c r="A27" s="42" t="s">
        <v>232</v>
      </c>
      <c r="B27" s="37"/>
      <c r="C27" s="37"/>
      <c r="D27" s="37"/>
      <c r="E27" s="37"/>
      <c r="F27" s="38"/>
      <c r="G27" s="39"/>
      <c r="H27" s="37"/>
      <c r="I27" s="37"/>
    </row>
    <row r="28" spans="1:9" ht="21.95" customHeight="1" x14ac:dyDescent="0.25">
      <c r="A28" s="42" t="s">
        <v>233</v>
      </c>
      <c r="B28" s="37"/>
      <c r="C28" s="37"/>
      <c r="D28" s="37"/>
      <c r="E28" s="37"/>
      <c r="F28" s="38"/>
      <c r="G28" s="39"/>
      <c r="H28" s="37"/>
      <c r="I28" s="37"/>
    </row>
    <row r="29" spans="1:9" ht="21.95" customHeight="1" x14ac:dyDescent="0.25">
      <c r="A29" s="42"/>
      <c r="B29" s="37"/>
      <c r="C29" s="40" t="s">
        <v>234</v>
      </c>
      <c r="D29" s="37"/>
      <c r="E29" s="37"/>
      <c r="F29" s="38"/>
      <c r="G29" s="39"/>
      <c r="H29" s="37"/>
      <c r="I29" s="37"/>
    </row>
    <row r="30" spans="1:9" ht="21.95" customHeight="1" x14ac:dyDescent="0.25">
      <c r="A30" s="42" t="s">
        <v>235</v>
      </c>
      <c r="B30" s="41" t="s">
        <v>236</v>
      </c>
      <c r="C30" s="37"/>
      <c r="D30" s="37"/>
      <c r="E30" s="37"/>
      <c r="F30" s="38"/>
      <c r="G30" s="39"/>
      <c r="H30" s="37"/>
      <c r="I30" s="37"/>
    </row>
  </sheetData>
  <sortState xmlns:xlrd2="http://schemas.microsoft.com/office/spreadsheetml/2017/richdata2" ref="A14:L14">
    <sortCondition ref="A1:A1048576"/>
    <sortCondition ref="B1:B1048576"/>
  </sortState>
  <mergeCells count="2">
    <mergeCell ref="C5:D5"/>
    <mergeCell ref="C7:D7"/>
  </mergeCells>
  <pageMargins left="0.25" right="0.25" top="0.75" bottom="0.75" header="0.3" footer="0.3"/>
  <pageSetup scale="54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20</vt:i4>
      </vt:variant>
    </vt:vector>
  </HeadingPairs>
  <TitlesOfParts>
    <vt:vector size="41" baseType="lpstr">
      <vt:lpstr>INVOICE+(no+ids) (1)</vt:lpstr>
      <vt:lpstr>SALVATION ARMY - 1132 BROADVIEW</vt:lpstr>
      <vt:lpstr>NEW VISION - 2 MARKET ST. APT 2</vt:lpstr>
      <vt:lpstr>SALVATION ARMY - 150 RAILSIDE R</vt:lpstr>
      <vt:lpstr>SALVATION ARMY - GLENCAIRN</vt:lpstr>
      <vt:lpstr>NEW VISION - 2 MARKET ST. APT 1</vt:lpstr>
      <vt:lpstr>NEW VISION - 2 MARKET ST. APT 3</vt:lpstr>
      <vt:lpstr>SUREX COMMUNITY SERVICES - 49 C</vt:lpstr>
      <vt:lpstr>WOMEN'S HOSTELS INC. (Nellie's)</vt:lpstr>
      <vt:lpstr>SUREX COMMUNITY SERVICES - 28 M</vt:lpstr>
      <vt:lpstr>NEW VISION - 95 BICKNELL AVE</vt:lpstr>
      <vt:lpstr>NEW VISION - 87 HENRY LANE TERR</vt:lpstr>
      <vt:lpstr>SALVATION ARMY - 36 MELDAZY DRI</vt:lpstr>
      <vt:lpstr>NEW VISION - 83 HENRY LANE TERR</vt:lpstr>
      <vt:lpstr>NEW VISION - 81 HENRY LANE TERR</vt:lpstr>
      <vt:lpstr>MONTAGE - 7 BROADWAY AVE APT. 4</vt:lpstr>
      <vt:lpstr>SUREX COMMUNITY SERVICES - 50 C</vt:lpstr>
      <vt:lpstr>SUREX COMMUNITY SERVICES - 37 C</vt:lpstr>
      <vt:lpstr>MONTAGE - 7 BROADWAY AVE APT 40</vt:lpstr>
      <vt:lpstr>SUREX COMMUNITY SERVICES - 11 C</vt:lpstr>
      <vt:lpstr>NEW VISION - 8 OLEAN COURT</vt:lpstr>
      <vt:lpstr>'MONTAGE - 7 BROADWAY AVE APT 40'!Print_Area</vt:lpstr>
      <vt:lpstr>'MONTAGE - 7 BROADWAY AVE APT. 4'!Print_Area</vt:lpstr>
      <vt:lpstr>'NEW VISION - 2 MARKET ST. APT 1'!Print_Area</vt:lpstr>
      <vt:lpstr>'NEW VISION - 2 MARKET ST. APT 2'!Print_Area</vt:lpstr>
      <vt:lpstr>'NEW VISION - 2 MARKET ST. APT 3'!Print_Area</vt:lpstr>
      <vt:lpstr>'NEW VISION - 8 OLEAN COURT'!Print_Area</vt:lpstr>
      <vt:lpstr>'NEW VISION - 81 HENRY LANE TERR'!Print_Area</vt:lpstr>
      <vt:lpstr>'NEW VISION - 83 HENRY LANE TERR'!Print_Area</vt:lpstr>
      <vt:lpstr>'NEW VISION - 87 HENRY LANE TERR'!Print_Area</vt:lpstr>
      <vt:lpstr>'NEW VISION - 95 BICKNELL AVE'!Print_Area</vt:lpstr>
      <vt:lpstr>'SALVATION ARMY - 1132 BROADVIEW'!Print_Area</vt:lpstr>
      <vt:lpstr>'SALVATION ARMY - 150 RAILSIDE R'!Print_Area</vt:lpstr>
      <vt:lpstr>'SALVATION ARMY - 36 MELDAZY DRI'!Print_Area</vt:lpstr>
      <vt:lpstr>'SALVATION ARMY - GLENCAIRN'!Print_Area</vt:lpstr>
      <vt:lpstr>'SUREX COMMUNITY SERVICES - 11 C'!Print_Area</vt:lpstr>
      <vt:lpstr>'SUREX COMMUNITY SERVICES - 28 M'!Print_Area</vt:lpstr>
      <vt:lpstr>'SUREX COMMUNITY SERVICES - 37 C'!Print_Area</vt:lpstr>
      <vt:lpstr>'SUREX COMMUNITY SERVICES - 49 C'!Print_Area</vt:lpstr>
      <vt:lpstr>'SUREX COMMUNITY SERVICES - 50 C'!Print_Area</vt:lpstr>
      <vt:lpstr>'WOMEN''S HOSTELS INC. (Nellie''s)'!Print_Area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Abubakar Al-faki</cp:lastModifiedBy>
  <dcterms:created xsi:type="dcterms:W3CDTF">2026-03-30T20:18:23Z</dcterms:created>
  <dcterms:modified xsi:type="dcterms:W3CDTF">2026-03-30T20:59:58Z</dcterms:modified>
</cp:coreProperties>
</file>